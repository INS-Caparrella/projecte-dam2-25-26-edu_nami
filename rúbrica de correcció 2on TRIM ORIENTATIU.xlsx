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E:\Classes\Curs_2526\DAM2\Projecte\1 - Projecte EVALIS\correcció\"/>
    </mc:Choice>
  </mc:AlternateContent>
  <xr:revisionPtr revIDLastSave="0" documentId="13_ncr:1_{3AABB5DF-1198-4086-9E6F-9FE1BE05081B}" xr6:coauthVersionLast="47" xr6:coauthVersionMax="47" xr10:uidLastSave="{00000000-0000-0000-0000-000000000000}"/>
  <bookViews>
    <workbookView xWindow="-96" yWindow="-96" windowWidth="23232" windowHeight="12432" xr2:uid="{00000000-000D-0000-FFFF-FFFF00000000}"/>
  </bookViews>
  <sheets>
    <sheet name="Alumne PERFECTE" sheetId="6" r:id="rId1"/>
    <sheet name="Sergi i Elias" sheetId="1" r:id="rId2"/>
    <sheet name="Naminata i Edumary" sheetId="2" r:id="rId3"/>
    <sheet name="Julio i Hugo" sheetId="7" r:id="rId4"/>
    <sheet name="Piero" sheetId="5" r:id="rId5"/>
    <sheet name="Marc i Maria" sheetId="3" r:id="rId6"/>
    <sheet name="Abde i Camilo"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6" l="1"/>
  <c r="D81" i="1"/>
  <c r="D76" i="2"/>
  <c r="D46" i="8"/>
  <c r="D47" i="5"/>
  <c r="D60" i="2"/>
  <c r="D65" i="1"/>
  <c r="D47" i="7"/>
  <c r="D62" i="8" l="1"/>
  <c r="D44" i="8"/>
  <c r="C44" i="8"/>
  <c r="C45" i="8" l="1"/>
  <c r="D65" i="8" s="1"/>
  <c r="D63" i="7"/>
  <c r="D45" i="7"/>
  <c r="C45" i="7"/>
  <c r="C58" i="2"/>
  <c r="D59" i="6"/>
  <c r="C41" i="6"/>
  <c r="D41" i="6"/>
  <c r="D30" i="1"/>
  <c r="D63" i="5"/>
  <c r="D45" i="5"/>
  <c r="C45" i="5"/>
  <c r="D63" i="3"/>
  <c r="D45" i="3"/>
  <c r="C45" i="3"/>
  <c r="D58" i="2"/>
  <c r="C63" i="1"/>
  <c r="D63" i="1"/>
  <c r="C46" i="5" l="1"/>
  <c r="C46" i="7"/>
  <c r="C42" i="6"/>
  <c r="D43" i="6" s="1"/>
  <c r="C46" i="3"/>
  <c r="D47" i="3" s="1"/>
  <c r="C59" i="2"/>
  <c r="C64" i="1"/>
  <c r="D66" i="5" l="1"/>
  <c r="D66" i="7"/>
  <c r="D66" i="3"/>
  <c r="D79" i="2"/>
  <c r="D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Jaume Alcazo</author>
  </authors>
  <commentList>
    <comment ref="D30" authorId="0" shapeId="0" xr:uid="{1C148225-3C4D-4F6F-B197-FD9E8FED1BF0}">
      <text>
        <r>
          <rPr>
            <b/>
            <sz val="9"/>
            <color indexed="81"/>
            <rFont val="Tahoma"/>
            <charset val="1"/>
          </rPr>
          <t>Jaume Alcazo:</t>
        </r>
        <r>
          <rPr>
            <sz val="9"/>
            <color indexed="81"/>
            <rFont val="Tahoma"/>
            <charset val="1"/>
          </rPr>
          <t xml:space="preserve">
No es guarda si un professor és tutor, tutor FCT o almenys no ho he vist. Directiva si que hi és. Administradors de la platafarma també hi són. Suggereixo canviar el nom de la taula administrator per administrators o admins perquè quedi lleugerament més clar.</t>
        </r>
      </text>
    </comment>
    <comment ref="D34" authorId="0" shapeId="0" xr:uid="{B027E2D0-8068-45E0-8869-8924F0F58537}">
      <text>
        <r>
          <rPr>
            <sz val="9"/>
            <color indexed="81"/>
            <rFont val="Tahoma"/>
            <charset val="1"/>
          </rPr>
          <t>Falta agregar les fotos al GitHub perquè les puguem veure.</t>
        </r>
      </text>
    </comment>
    <comment ref="D39" authorId="0" shapeId="0" xr:uid="{C31377C4-A402-4B2A-8E5D-5885F9860D47}">
      <text>
        <r>
          <rPr>
            <sz val="9"/>
            <color indexed="81"/>
            <rFont val="Tahoma"/>
            <charset val="1"/>
          </rPr>
          <t>Afegiu en quin centre va cursar cada estudi, si us plau.</t>
        </r>
      </text>
    </comment>
    <comment ref="D40" authorId="0" shapeId="0" xr:uid="{692F3789-238E-40E2-B62D-5C9C48380D16}">
      <text>
        <r>
          <rPr>
            <sz val="9"/>
            <color indexed="81"/>
            <rFont val="Tahoma"/>
            <charset val="1"/>
          </rPr>
          <t>Les observacions han d'anar en una taula a part, ja que hi poden haver moltes observacions per a un periode de FCT, i tal com ho teniu només en podeu guardar UNA. S'han d'extreure les observacions de la taula d'FCT i posar-les en una taula a part d'observacions_fct, per exemple i relacionar-la correctament amb la taula de FCT.</t>
        </r>
      </text>
    </comment>
    <comment ref="D45" authorId="0" shapeId="0" xr:uid="{D7B8A253-12DC-48A6-95AF-8E58BF6541EE}">
      <text>
        <r>
          <rPr>
            <sz val="9"/>
            <color indexed="81"/>
            <rFont val="Tahoma"/>
            <charset val="1"/>
          </rPr>
          <t>Ok, però student_history és la versió antiga de student_studies. S'ha d'esborrar student_history per evitar problemes.</t>
        </r>
      </text>
    </comment>
    <comment ref="D46" authorId="0" shapeId="0" xr:uid="{34D94ED4-9A99-4934-8E80-1FD5C2057A0B}">
      <text>
        <r>
          <rPr>
            <sz val="9"/>
            <color indexed="81"/>
            <rFont val="Tahoma"/>
            <charset val="1"/>
          </rPr>
          <t>Aquest punt no està reflectit, penso, o no sé trobar-ho. Digueu-me on es troba reflectit.</t>
        </r>
      </text>
    </comment>
    <comment ref="D47" authorId="0" shapeId="0" xr:uid="{F6A7C12C-C7BF-47D5-B4EA-E18F43C3A895}">
      <text>
        <r>
          <rPr>
            <sz val="9"/>
            <color indexed="81"/>
            <rFont val="Tahoma"/>
            <charset val="1"/>
          </rPr>
          <t>Aquest punt no està reflectit, penso, o no sé trobar-ho. Digueu-me on es troba reflectit.</t>
        </r>
      </text>
    </comment>
    <comment ref="D48" authorId="0" shapeId="0" xr:uid="{5ABA029F-7CA8-463E-989E-7C18AF68F0E9}">
      <text>
        <r>
          <rPr>
            <sz val="9"/>
            <color indexed="81"/>
            <rFont val="Tahoma"/>
            <charset val="1"/>
          </rPr>
          <t>Falta indicar la data o la classe en la que es a absentar el professor/a.</t>
        </r>
      </text>
    </comment>
    <comment ref="D50" authorId="0" shapeId="0" xr:uid="{8C4A4F8B-FDEE-4C73-87D4-ACAE18EFA9E7}">
      <text>
        <r>
          <rPr>
            <sz val="9"/>
            <color indexed="81"/>
            <rFont val="Tahoma"/>
            <charset val="1"/>
          </rPr>
          <t>En class_hour es guarda un camp molt general (un comentari) sobre l'assistència. No es guarda una assistència detallada a nivell d'alumne individual, que es el que es demanava.</t>
        </r>
      </text>
    </comment>
    <comment ref="D55" authorId="0" shapeId="0" xr:uid="{4F69DE1D-B93E-4A86-BEA2-7255344C80C8}">
      <text>
        <r>
          <rPr>
            <sz val="9"/>
            <color indexed="81"/>
            <rFont val="Tahoma"/>
            <charset val="1"/>
          </rPr>
          <t>Falta guardar si està revocat o no un token amb un camp boolean "revoked" a la taula "session".</t>
        </r>
      </text>
    </comment>
    <comment ref="D57" authorId="0" shapeId="0" xr:uid="{C8EBE39B-A1DF-4065-81B0-D0010884778F}">
      <text>
        <r>
          <rPr>
            <sz val="9"/>
            <color indexed="81"/>
            <rFont val="Tahoma"/>
            <charset val="1"/>
          </rPr>
          <t>Falta guardar si està revocat o no un token amb un camp boolean "revoked" a la taula "session".</t>
        </r>
      </text>
    </comment>
    <comment ref="C60" authorId="0" shapeId="0" xr:uid="{54C41870-B083-424C-80F8-77A3676DECF4}">
      <text>
        <r>
          <rPr>
            <sz val="9"/>
            <color indexed="81"/>
            <rFont val="Tahoma"/>
            <charset val="1"/>
          </rPr>
          <t>Aquest punt no està reflectit, penso, o no sé trobar-ho. Digueu-me on es troba reflectit.</t>
        </r>
      </text>
    </comment>
    <comment ref="D60" authorId="0" shapeId="0" xr:uid="{EA548F99-2961-4815-B2BC-F8BC4CEEAC04}">
      <text>
        <r>
          <rPr>
            <sz val="9"/>
            <color indexed="81"/>
            <rFont val="Tahoma"/>
            <charset val="1"/>
          </rPr>
          <t>Aquest punt no està reflectit, penso, o no sé trobar-ho. Digueu-me on es troba reflectit.</t>
        </r>
      </text>
    </comment>
    <comment ref="C61" authorId="0" shapeId="0" xr:uid="{F657F130-0637-4002-B299-B7687577FAEA}">
      <text>
        <r>
          <rPr>
            <sz val="9"/>
            <color indexed="81"/>
            <rFont val="Tahoma"/>
            <family val="2"/>
          </rPr>
          <t>No es desa quins centres fan quins estudis del catalog o no he sabut veure, si us plau: indicar-ho.</t>
        </r>
      </text>
    </comment>
    <comment ref="D61" authorId="0" shapeId="0" xr:uid="{2E1C40A8-09A0-49CE-8BB7-8FE859D0D138}">
      <text>
        <r>
          <rPr>
            <sz val="9"/>
            <color indexed="81"/>
            <rFont val="Tahoma"/>
            <family val="2"/>
          </rPr>
          <t>No es desa quins centres fan quins estudis del catalog o no he sabut veure, si us plau: indicar-ho.</t>
        </r>
      </text>
    </comment>
    <comment ref="C62" authorId="0" shapeId="0" xr:uid="{F47F36E7-290A-433D-B3F0-6C57AC38C9E2}">
      <text>
        <r>
          <rPr>
            <sz val="9"/>
            <color indexed="81"/>
            <rFont val="Tahoma"/>
            <family val="2"/>
          </rPr>
          <t>Donen error els triggers, tal com es veu al principi d'aquest full. Arreglar l'error de creació dels triggers per poder avaluar-ho.</t>
        </r>
      </text>
    </comment>
    <comment ref="D62" authorId="0" shapeId="0" xr:uid="{6B622D71-C971-487D-8FB0-9DF6371C0C28}">
      <text>
        <r>
          <rPr>
            <sz val="9"/>
            <color indexed="81"/>
            <rFont val="Tahoma"/>
            <family val="2"/>
          </rPr>
          <t>Donen error els triggers, tal com es veu al principi d'aquest full. Arreglar l'error de creació dels triggers per poder avaluar-ho.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Jaume Alcazo</author>
  </authors>
  <commentList>
    <comment ref="D29" authorId="0" shapeId="0" xr:uid="{3BEFD36E-064D-47B1-8821-7781F4591537}">
      <text>
        <r>
          <rPr>
            <sz val="9"/>
            <color indexed="81"/>
            <rFont val="Tahoma"/>
            <family val="2"/>
          </rPr>
          <t>Falta penjar les fotos de la subcarpeta img realment al github, per tenir-ne còpia de seguretat i perquè els correctors puguem acabar de verificar aquest punt completament.</t>
        </r>
      </text>
    </comment>
    <comment ref="D32" authorId="0" shapeId="0" xr:uid="{3244DD6E-0791-470F-A1A7-24E51B49AB40}">
      <text>
        <r>
          <rPr>
            <sz val="9"/>
            <color indexed="81"/>
            <rFont val="Tahoma"/>
            <family val="2"/>
          </rPr>
          <t>Compto la meitat, ja que falta saber una assignatura a quin cicle va. Per exemple, a la taula d'assignatures, ASIG002 és Bases de dades, però no sabem si és BD de ASIX1, BD d'DAM1, BD de DAW1, BD de DAMDAW1, etc. Per tant caldria agregar una columna en aquesta taula, amb FOREIGN_KEY que referencii al cicle al que pertany aquesta assignatura, en aquesta taula. Quan ho milloreu ho comptaré sencer (a la pròxima avaluació orientativa de segon trimestre).</t>
        </r>
      </text>
    </comment>
    <comment ref="C34" authorId="0" shapeId="0" xr:uid="{501B2C26-4750-42E6-9F92-0F68A358B230}">
      <text>
        <r>
          <rPr>
            <sz val="9"/>
            <color indexed="81"/>
            <rFont val="Tahoma"/>
            <family val="2"/>
          </rPr>
          <t>Tot bé excepte que no es sap el centre en el que va cursar cada estudi l'estudiant, cal agregar un FOREIGN KEY indicant el centre a la taula historic_estudiants.</t>
        </r>
      </text>
    </comment>
    <comment ref="D34" authorId="0" shapeId="0" xr:uid="{E04D75E8-4606-441F-A7E9-09C781282786}">
      <text>
        <r>
          <rPr>
            <sz val="9"/>
            <color indexed="81"/>
            <rFont val="Tahoma"/>
            <family val="2"/>
          </rPr>
          <t>Tot bé excepte que no es sap el centre en el que va cursar cada estudi l'estudiant, cal agregar un FOREIGN KEY indicant el centre a la taula historic_estudiants.</t>
        </r>
      </text>
    </comment>
    <comment ref="C35" authorId="0" shapeId="0" xr:uid="{EFD780E1-7DF3-4D66-8C2A-ECEA2375AA39}">
      <text>
        <r>
          <rPr>
            <b/>
            <sz val="9"/>
            <color indexed="81"/>
            <rFont val="Tahoma"/>
            <family val="2"/>
          </rPr>
          <t>Jaume Alcazo:</t>
        </r>
        <r>
          <rPr>
            <sz val="9"/>
            <color indexed="81"/>
            <rFont val="Tahoma"/>
            <family val="2"/>
          </rPr>
          <t xml:space="preserve">
</t>
        </r>
      </text>
    </comment>
    <comment ref="C41" authorId="0" shapeId="0" xr:uid="{2911D787-0474-48DC-9229-479BE6C55710}">
      <text>
        <r>
          <rPr>
            <sz val="9"/>
            <color indexed="81"/>
            <rFont val="Tahoma"/>
            <family val="2"/>
          </rPr>
          <t>Està a la taula contractes.</t>
        </r>
      </text>
    </comment>
    <comment ref="D41" authorId="0" shapeId="0" xr:uid="{1F2CE63D-259B-4137-B983-70AA3BDCF451}">
      <text>
        <r>
          <rPr>
            <sz val="9"/>
            <color indexed="81"/>
            <rFont val="Tahoma"/>
            <family val="2"/>
          </rPr>
          <t>Està a la taula contractes.</t>
        </r>
      </text>
    </comment>
    <comment ref="C42" authorId="0" shapeId="0" xr:uid="{E9AF9426-B8D3-4F41-8E1F-23049DD4D049}">
      <text>
        <r>
          <rPr>
            <sz val="9"/>
            <color indexed="81"/>
            <rFont val="Tahoma"/>
            <family val="2"/>
          </rPr>
          <t>No es desa aquesta informació en cap lloc que jo pugui trobar, arregle-ho o indiqueu on és la informació, siusplau.</t>
        </r>
      </text>
    </comment>
    <comment ref="D42" authorId="0" shapeId="0" xr:uid="{03B74FC0-2F80-4C87-93E3-B6FC64B6BD84}">
      <text>
        <r>
          <rPr>
            <sz val="9"/>
            <color indexed="81"/>
            <rFont val="Tahoma"/>
            <family val="2"/>
          </rPr>
          <t>No es desa aquesta informació en cap lloc que jo pugui trobar, arregle-ho o indiqueu on és la informació, siusplau.</t>
        </r>
      </text>
    </comment>
    <comment ref="C45" authorId="0" shapeId="0" xr:uid="{B6B7BDBA-6E07-4A12-AB07-ED16F7C28D03}">
      <text>
        <r>
          <rPr>
            <sz val="9"/>
            <color indexed="81"/>
            <rFont val="Tahoma"/>
            <family val="2"/>
          </rPr>
          <t>La taula d'assistència no està malament com a primer pas, però així no es sap quins estudiants van assistir a quines hores de classe. Cal una taula intermedia entre estudiants i assistència. Més aviat jo lli diria a l'actual assistència "hores_de_classe" i crearia una nova taula anomenada assistència que associés la id o NIA de l'estudiant amb el codi de l'hora de classe. Així es poden generar llistats i informes d'assistència de la banda de les apps que consultin aquesta BD.</t>
        </r>
      </text>
    </comment>
    <comment ref="D45" authorId="0" shapeId="0" xr:uid="{228310D0-A678-4DA1-AD13-389002D5CF9A}">
      <text>
        <r>
          <rPr>
            <sz val="9"/>
            <color indexed="81"/>
            <rFont val="Tahoma"/>
            <family val="2"/>
          </rPr>
          <t>La taula d'assistència no està malament com a primer pas, però així no es sap quins estudiants van assistir a quines hores de classe. Cal una taula intermedia entre estudiants i assistència. Més aviat jo lli diria a l'actual assistència "hores_de_classe" i crearia una nova taula anomenada assistència que associés la id o NIA de l'estudiant amb el codi de l'hora de classe. Així es poden generar llistats i informes d'assistència de la banda de les apps que consultin aquesta BD.</t>
        </r>
      </text>
    </comment>
    <comment ref="D46" authorId="0" shapeId="0" xr:uid="{F7F495D2-A096-4297-97CF-4AA2F8FD1336}">
      <text>
        <r>
          <rPr>
            <sz val="9"/>
            <color indexed="81"/>
            <rFont val="Tahoma"/>
            <family val="2"/>
          </rPr>
          <t>Baixo la nota en aquest apartat ja que les IP no tenen forma d'IPv4 (ex 132.10.42.4 i són totes repetides. Milloreu les dades d'exemple per acabar de pujar la nota en aquest apartat i agregueu varietat d'IP's. També podeu posar IPv6 o una barreja d'IPv4 i IPv6.</t>
        </r>
      </text>
    </comment>
    <comment ref="C47" authorId="0" shapeId="0" xr:uid="{E04F860C-E2BE-41B5-BABA-8F5824EC9AD9}">
      <text>
        <r>
          <rPr>
            <sz val="9"/>
            <color indexed="81"/>
            <rFont val="Tahoma"/>
            <family val="2"/>
          </rPr>
          <t>A sessions veig informació duplicada incorrectament en posar el username, ja que no té sentit aquí, i a més no està en foreign key. Recomano eliminar-lo d'aquesta taula (però NO eliminar-lo de la taula usuaris). Penseu que l'username pot canviar, a més. i si canvia en la taula principal també l'hauriam de canviar en sessions (més feina i processament per res) o tenir informació incosistent. Per això baixo la nota d'aquest apartat. A part no es desa el token de sessió a la taula de sessions, tal com es demana a l'enunciat.</t>
        </r>
      </text>
    </comment>
    <comment ref="D47" authorId="0" shapeId="0" xr:uid="{0DEE8DA3-1557-40F1-A58B-C1117B1CE12B}">
      <text>
        <r>
          <rPr>
            <sz val="9"/>
            <color indexed="81"/>
            <rFont val="Tahoma"/>
            <family val="2"/>
          </rPr>
          <t>A sessions veig informació duplicada incorrectament en posar el username, ja que no té sentit aquí, i a més no està en foreign key. Recomano eliminar-lo d'aquesta taula (però NO eliminar-lo de la taula usuaris). Penseu que l'username pot canviar, a més. i si canvia en la taula principal també l'hauriam de canviar en sessions (més feina i processament per res) o tenir informació incosistent. Per això baixo la nota d'aquest apartat. A part no es desa el token de sessió a la taula de sessions, tal com es demana a l'enunciat.</t>
        </r>
      </text>
    </comment>
    <comment ref="C50" authorId="0" shapeId="0" xr:uid="{A82E771E-6023-4A29-BBD6-9A7D0B4E38FF}">
      <text>
        <r>
          <rPr>
            <sz val="9"/>
            <color indexed="81"/>
            <rFont val="Tahoma"/>
            <family val="2"/>
          </rPr>
          <t>Al no guardar-se el token tampoc es guardar el timestamp de quan caduca o si està revocat o no abans d'hora.</t>
        </r>
      </text>
    </comment>
    <comment ref="D50" authorId="0" shapeId="0" xr:uid="{01557DF6-FF81-41A7-8556-C3177389E839}">
      <text>
        <r>
          <rPr>
            <sz val="9"/>
            <color indexed="81"/>
            <rFont val="Tahoma"/>
            <family val="2"/>
          </rPr>
          <t>Al no guardar-se el token tampoc es guardar el timestamp de quan caduca o si està revocat o no abans d'hora.</t>
        </r>
      </text>
    </comment>
    <comment ref="C53" authorId="0" shapeId="0" xr:uid="{D59571C6-D81D-41BD-9A23-002386AFB4D7}">
      <text>
        <r>
          <rPr>
            <sz val="9"/>
            <color indexed="81"/>
            <rFont val="Tahoma"/>
            <family val="2"/>
          </rPr>
          <t>No té massa sentit guardar la nota a la taula de RA, ja que aquí no pertany a cap alumne en concret. Ha d'estar en una taula estudiant_ra o "matriculacions", per així guardar la nota de CADA estudiant per CADA ra.</t>
        </r>
      </text>
    </comment>
    <comment ref="D53" authorId="0" shapeId="0" xr:uid="{0DCDA949-6D0F-4D2A-B45F-3873FB357B6C}">
      <text>
        <r>
          <rPr>
            <sz val="9"/>
            <color indexed="81"/>
            <rFont val="Tahoma"/>
            <family val="2"/>
          </rPr>
          <t>No té massa sentit guardar la nota a la taula de RA, ja que aquí no pertany a cap alumne en concret. Ha d'estar en una taula estudiant_ra o "matriculacions", per així guardar la nota de CADA estudiant per CADA ra.</t>
        </r>
      </text>
    </comment>
    <comment ref="C54" authorId="0" shapeId="0" xr:uid="{C22E6C6C-800A-402E-B965-129BE691CE6D}">
      <text>
        <r>
          <rPr>
            <sz val="9"/>
            <color indexed="81"/>
            <rFont val="Tahoma"/>
            <family val="2"/>
          </rPr>
          <t>No trobo aquesta informació.</t>
        </r>
      </text>
    </comment>
    <comment ref="D54" authorId="0" shapeId="0" xr:uid="{1441431C-DF0B-4965-BA7C-B6AFD28235E9}">
      <text>
        <r>
          <rPr>
            <sz val="9"/>
            <color indexed="81"/>
            <rFont val="Tahoma"/>
            <family val="2"/>
          </rPr>
          <t>No trobo aquesta informació.</t>
        </r>
      </text>
    </comment>
    <comment ref="C55" authorId="0" shapeId="0" xr:uid="{7756D0B9-D8D9-4286-80CD-DA08612AB4E9}">
      <text>
        <r>
          <rPr>
            <sz val="9"/>
            <color indexed="81"/>
            <rFont val="Tahoma"/>
            <family val="2"/>
          </rPr>
          <t>No trobo aquesta informació.</t>
        </r>
      </text>
    </comment>
    <comment ref="D55" authorId="0" shapeId="0" xr:uid="{614BF982-823D-446E-AC8E-996197AAA378}">
      <text>
        <r>
          <rPr>
            <sz val="9"/>
            <color indexed="81"/>
            <rFont val="Tahoma"/>
            <family val="2"/>
          </rPr>
          <t>No trobo aquesta informació.</t>
        </r>
      </text>
    </comment>
    <comment ref="C56" authorId="0" shapeId="0" xr:uid="{0C6E3439-0B67-4BF3-8630-643C4C92577B}">
      <text>
        <r>
          <rPr>
            <sz val="9"/>
            <color indexed="81"/>
            <rFont val="Tahoma"/>
            <family val="2"/>
          </rPr>
          <t>No trobo aquesta informació.</t>
        </r>
      </text>
    </comment>
    <comment ref="D56" authorId="0" shapeId="0" xr:uid="{BDE931B8-3615-41FD-9897-BC93CAF7EFDF}">
      <text>
        <r>
          <rPr>
            <sz val="9"/>
            <color indexed="81"/>
            <rFont val="Tahoma"/>
            <family val="2"/>
          </rPr>
          <t>No trobo aquesta informació.</t>
        </r>
      </text>
    </comment>
    <comment ref="C57" authorId="0" shapeId="0" xr:uid="{3D0FB5B3-27D2-4051-8148-535A5FCD3DF4}">
      <text>
        <r>
          <rPr>
            <sz val="9"/>
            <color indexed="81"/>
            <rFont val="Tahoma"/>
            <family val="2"/>
          </rPr>
          <t>No funciona la importació dels triggers.</t>
        </r>
      </text>
    </comment>
    <comment ref="D57" authorId="0" shapeId="0" xr:uid="{2B8886F5-B106-4831-B1C1-2A5E34A727FC}">
      <text>
        <r>
          <rPr>
            <sz val="9"/>
            <color indexed="81"/>
            <rFont val="Tahoma"/>
            <family val="2"/>
          </rPr>
          <t>No funciona la importació dels triggers.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Jaume</author>
    <author>Jaume Alcazo</author>
  </authors>
  <commentList>
    <comment ref="D16" authorId="0" shapeId="0" xr:uid="{44765131-53BA-46F0-9FAE-596E5D114B5A}">
      <text>
        <r>
          <rPr>
            <sz val="9"/>
            <color indexed="81"/>
            <rFont val="Tahoma"/>
            <family val="2"/>
          </rPr>
          <t>Cal incloure una còpia de la carpeta de les fotos de persones al GitHub per contar al màxim aquest apartat.</t>
        </r>
      </text>
    </comment>
    <comment ref="C20" authorId="0" shapeId="0" xr:uid="{E9C8C9FC-A5E0-46F6-8435-E3C048F92E83}">
      <text>
        <r>
          <rPr>
            <sz val="9"/>
            <color indexed="81"/>
            <rFont val="Tahoma"/>
            <family val="2"/>
          </rPr>
          <t>Penso que falta agregar el codi del grup a la taula alumne, o null o buit si no està en cap grup actualment (exalumne).</t>
        </r>
      </text>
    </comment>
    <comment ref="D20" authorId="0" shapeId="0" xr:uid="{242A0301-2BA1-4784-A0AA-9AF15A9747EB}">
      <text>
        <r>
          <rPr>
            <sz val="9"/>
            <color indexed="81"/>
            <rFont val="Tahoma"/>
            <family val="2"/>
          </rPr>
          <t>Penso que falta agregar el codi del grup a la taula alumne, o null o buit si no està en cap grup actualment (exalumne).</t>
        </r>
      </text>
    </comment>
    <comment ref="C22" authorId="0" shapeId="0" xr:uid="{14369947-BD4D-44B7-82C4-7A36AAC6223D}">
      <text>
        <r>
          <rPr>
            <sz val="9"/>
            <color indexed="81"/>
            <rFont val="Tahoma"/>
            <family val="2"/>
          </rPr>
          <t>Observacions és millor en taula a part, ja que poden haver-hi moltes observacions per cada fct d'alumne.</t>
        </r>
      </text>
    </comment>
    <comment ref="D22" authorId="0" shapeId="0" xr:uid="{0902AEA8-494A-438C-9631-6FA2A8538C76}">
      <text>
        <r>
          <rPr>
            <sz val="9"/>
            <color indexed="81"/>
            <rFont val="Tahoma"/>
            <family val="2"/>
          </rPr>
          <t>Observacions és millor en taula a part, ja que poden haver-hi moltes observacions per cada fct d'alumne.</t>
        </r>
      </text>
    </comment>
    <comment ref="D30" authorId="0" shapeId="0" xr:uid="{8EDEAD74-95A5-4BC7-8E73-B60C993FA748}">
      <text>
        <r>
          <rPr>
            <sz val="9"/>
            <color indexed="81"/>
            <rFont val="Tahoma"/>
            <family val="2"/>
          </rPr>
          <t>absència i asisstència són noms raonables però que es presten a confusió per algú que no tingui l'enunciat fresc. Per tant recomano canviar el nom a absencia_profs i assistencia_alumnes</t>
        </r>
      </text>
    </comment>
    <comment ref="D31" authorId="0" shapeId="0" xr:uid="{5F2BE932-EF1B-4E45-B5C9-FA765D58E38E}">
      <text>
        <r>
          <rPr>
            <sz val="9"/>
            <color indexed="81"/>
            <rFont val="Tahoma"/>
            <family val="2"/>
          </rPr>
          <t>Agregar 9 admins més (vam dir 10 files d'exemple per taula).</t>
        </r>
      </text>
    </comment>
    <comment ref="D34" authorId="0" shapeId="0" xr:uid="{642CB00F-C66A-4BB9-8989-50BB299E6D25}">
      <text>
        <r>
          <rPr>
            <sz val="9"/>
            <color indexed="81"/>
            <rFont val="Tahoma"/>
            <family val="2"/>
          </rPr>
          <t>està a la taula sessio</t>
        </r>
      </text>
    </comment>
    <comment ref="C37" authorId="1" shapeId="0" xr:uid="{127604DF-EAF4-4891-8972-BA033F8654C2}">
      <text>
        <r>
          <rPr>
            <sz val="9"/>
            <color indexed="81"/>
            <rFont val="Tahoma"/>
            <charset val="1"/>
          </rPr>
          <t>Falta guardar si està revocat o no un token amb un camp boolean "revoked" o similar a la taula "sessio".</t>
        </r>
      </text>
    </comment>
    <comment ref="D37" authorId="1" shapeId="0" xr:uid="{2A3FC4FF-DDDA-42D2-ADA7-904F28B31AB5}">
      <text>
        <r>
          <rPr>
            <sz val="9"/>
            <color indexed="81"/>
            <rFont val="Tahoma"/>
            <charset val="1"/>
          </rPr>
          <t>Falta guardar si està revocat o no un token amb un camp boolean "revoked" o similar a la taula "sessio".</t>
        </r>
      </text>
    </comment>
    <comment ref="C39" authorId="1" shapeId="0" xr:uid="{6142541E-ACDD-491B-90C7-DB6D3771E0EB}">
      <text>
        <r>
          <rPr>
            <sz val="9"/>
            <color indexed="81"/>
            <rFont val="Tahoma"/>
            <charset val="1"/>
          </rPr>
          <t>Falta guardar si està revocat o no un token amb un camp boolean "revoked" o similar a la taula "sessio".</t>
        </r>
      </text>
    </comment>
    <comment ref="D39" authorId="1" shapeId="0" xr:uid="{40410948-4112-4FDD-8843-714DB95FFB0E}">
      <text>
        <r>
          <rPr>
            <sz val="9"/>
            <color indexed="81"/>
            <rFont val="Tahoma"/>
            <charset val="1"/>
          </rPr>
          <t>Falta guardar si està revocat o no un token amb un camp boolean "revoked" o similar a la taula "sessio".</t>
        </r>
      </text>
    </comment>
    <comment ref="C42" authorId="0" shapeId="0" xr:uid="{9C0FDCEA-14B3-48A1-8A75-86ADAC239D31}">
      <text>
        <r>
          <rPr>
            <sz val="9"/>
            <color indexed="81"/>
            <rFont val="Tahoma"/>
            <family val="2"/>
          </rPr>
          <t>No hi és o no sé trobar-ho, si us plau indiqueu on es troba de cara a la següent avaluació orientativa.</t>
        </r>
      </text>
    </comment>
    <comment ref="D42" authorId="0" shapeId="0" xr:uid="{888B93F9-5F41-418E-804C-7F4E041A9B0F}">
      <text>
        <r>
          <rPr>
            <sz val="9"/>
            <color indexed="81"/>
            <rFont val="Tahoma"/>
            <family val="2"/>
          </rPr>
          <t>No hi és o no sé trobar-ho, si us plau indiqueu on es troba de cara a la següent avaluació orientativa.</t>
        </r>
      </text>
    </comment>
    <comment ref="C43" authorId="0" shapeId="0" xr:uid="{B9624062-DE10-41E8-9963-12BA019A63CA}">
      <text>
        <r>
          <rPr>
            <sz val="9"/>
            <color indexed="81"/>
            <rFont val="Tahoma"/>
            <family val="2"/>
          </rPr>
          <t>No hi és o no sé trobar-ho, si us plau indiqueu on es troba de cara a la següent avaluació orientativa.</t>
        </r>
      </text>
    </comment>
    <comment ref="D43" authorId="0" shapeId="0" xr:uid="{2062ACF5-8B0B-4898-A56B-247DECA02856}">
      <text>
        <r>
          <rPr>
            <sz val="9"/>
            <color indexed="81"/>
            <rFont val="Tahoma"/>
            <family val="2"/>
          </rPr>
          <t>No hi és o no sé trobar-ho, si us plau indiqueu on es troba de cara a la següent avaluació orientativa.</t>
        </r>
      </text>
    </comment>
    <comment ref="D44" authorId="0" shapeId="0" xr:uid="{A3A95FE8-92B0-4118-887D-438CBDE21615}">
      <text>
        <r>
          <rPr>
            <sz val="9"/>
            <color indexed="81"/>
            <rFont val="Tahoma"/>
            <family val="2"/>
          </rPr>
          <t>Promoció:
- falta, com a trigger.
Alta:
- no fa l'insert, només calcula el nom i acaba.
Baixa:
- No ho posa a la taula estudis_no_finalitzats
Graduació:
- graduació dispara baixa.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Jaume</author>
    <author>Jaume Alcazo</author>
  </authors>
  <commentList>
    <comment ref="D15" authorId="0" shapeId="0" xr:uid="{8EAB0564-E0D6-4A91-B606-5E588C9D732F}">
      <text>
        <r>
          <rPr>
            <sz val="9"/>
            <color indexed="81"/>
            <rFont val="Tahoma"/>
            <family val="2"/>
          </rPr>
          <t>És millor no guardar l'edat i calcular-la des dels programes que es connecten a la BD, a partir de la data de naixement.</t>
        </r>
      </text>
    </comment>
    <comment ref="C16" authorId="0" shapeId="0" xr:uid="{415D8F54-AB11-4292-AB93-50E23E7BF717}">
      <text>
        <r>
          <rPr>
            <sz val="9"/>
            <color indexed="81"/>
            <rFont val="Tahoma"/>
            <family val="2"/>
          </rPr>
          <t>S'ha de guardar a persona, diu "persones", no "usuaris", pensa que hi ha persones que no tenen perquè tenir un usuari, per exemple un alumne de 1er d'ESO.</t>
        </r>
      </text>
    </comment>
    <comment ref="D16" authorId="0" shapeId="0" xr:uid="{407A9BEF-FA25-4550-ADE1-375D9E27871B}">
      <text>
        <r>
          <rPr>
            <sz val="9"/>
            <color indexed="81"/>
            <rFont val="Tahoma"/>
            <family val="2"/>
          </rPr>
          <t>No hi ha cap ruta relatives ni s'entreguen les fotos de carnet, a part, al GitHub.</t>
        </r>
      </text>
    </comment>
    <comment ref="D18" authorId="0" shapeId="0" xr:uid="{92571345-004F-4C76-9022-FDF1D7E585C8}">
      <text>
        <r>
          <rPr>
            <sz val="9"/>
            <color indexed="81"/>
            <rFont val="Tahoma"/>
            <family val="2"/>
          </rPr>
          <t>A "anyo" no es guarda cap informació. Ho has d'omplir. A part és "any" o "año", no la barreja de les dues coses. També s'entendria millor com a "curs", ja que els cursos solapen anys naturals (ex: 24/25, 25/26) i any o año pot suggerir any natural a algú que ho vegi de nou.</t>
        </r>
      </text>
    </comment>
    <comment ref="C19" authorId="0" shapeId="0" xr:uid="{F8006871-29CC-4202-8D9E-585381D2D414}">
      <text>
        <r>
          <rPr>
            <sz val="9"/>
            <color indexed="81"/>
            <rFont val="Tahoma"/>
            <family val="2"/>
          </rPr>
          <t>No es desa quantes hores fa cada professor de cada assignatura, o almenys no ho sé veure.</t>
        </r>
      </text>
    </comment>
    <comment ref="D19" authorId="0" shapeId="0" xr:uid="{84B16551-547B-4EED-86EC-B0E2DE8A8640}">
      <text>
        <r>
          <rPr>
            <sz val="9"/>
            <color indexed="81"/>
            <rFont val="Tahoma"/>
            <family val="2"/>
          </rPr>
          <t>No es desa quantes hores fa cada professor de cada assignatura, o almenys no ho sé veure.</t>
        </r>
      </text>
    </comment>
    <comment ref="C21" authorId="0" shapeId="0" xr:uid="{5873B9E6-252C-429E-91DA-1A603FC56645}">
      <text>
        <r>
          <rPr>
            <sz val="9"/>
            <color indexed="81"/>
            <rFont val="Tahoma"/>
            <family val="2"/>
          </rPr>
          <t>Està a taula estudis.</t>
        </r>
      </text>
    </comment>
    <comment ref="D21" authorId="0" shapeId="0" xr:uid="{02CFFBA3-8C09-49D4-848D-E7B19C1677E7}">
      <text>
        <r>
          <rPr>
            <sz val="9"/>
            <color indexed="81"/>
            <rFont val="Tahoma"/>
            <family val="2"/>
          </rPr>
          <t>Està a taula estudis.</t>
        </r>
      </text>
    </comment>
    <comment ref="C27" authorId="0" shapeId="0" xr:uid="{6948DE62-0D47-468B-B740-97302733A571}">
      <text>
        <r>
          <rPr>
            <sz val="9"/>
            <color indexed="81"/>
            <rFont val="Tahoma"/>
            <family val="2"/>
          </rPr>
          <t>No es guarda la nota a nivell d'assignatura-mòdul, ni les notes de les UF o RA.</t>
        </r>
      </text>
    </comment>
    <comment ref="D27" authorId="0" shapeId="0" xr:uid="{3C3099D0-96F3-4BD2-91F6-9D3E213B83C2}">
      <text>
        <r>
          <rPr>
            <sz val="9"/>
            <color indexed="81"/>
            <rFont val="Tahoma"/>
            <family val="2"/>
          </rPr>
          <t>No es guarda la nota a nivell d'assignatura-mòdul, ni les notes de les UF o RA.</t>
        </r>
      </text>
    </comment>
    <comment ref="C28" authorId="0" shapeId="0" xr:uid="{068DD3F7-F25A-466F-BD46-0085D163E0DF}">
      <text>
        <r>
          <rPr>
            <sz val="9"/>
            <color indexed="81"/>
            <rFont val="Tahoma"/>
            <family val="2"/>
          </rPr>
          <t>Aquest apartat no hi és o no el sé trobar.</t>
        </r>
      </text>
    </comment>
    <comment ref="D28" authorId="0" shapeId="0" xr:uid="{89C7E237-24BC-4B91-B97B-E1B03FCDF664}">
      <text>
        <r>
          <rPr>
            <sz val="9"/>
            <color indexed="81"/>
            <rFont val="Tahoma"/>
            <family val="2"/>
          </rPr>
          <t>Aquest apartat no hi és o no el sé trobar.</t>
        </r>
      </text>
    </comment>
    <comment ref="C29" authorId="0" shapeId="0" xr:uid="{FD57599F-FA7F-4D7B-917C-4DADDF1EF049}">
      <text>
        <r>
          <rPr>
            <sz val="9"/>
            <color indexed="81"/>
            <rFont val="Tahoma"/>
            <family val="2"/>
          </rPr>
          <t>Aquest apartat no hi és o no el sé trobar.</t>
        </r>
      </text>
    </comment>
    <comment ref="D29" authorId="0" shapeId="0" xr:uid="{22A5E93B-639B-41D2-89AE-EF9EE2F1BED0}">
      <text>
        <r>
          <rPr>
            <sz val="9"/>
            <color indexed="81"/>
            <rFont val="Tahoma"/>
            <family val="2"/>
          </rPr>
          <t>Aquest apartat no hi és o no el sé trobar.</t>
        </r>
      </text>
    </comment>
    <comment ref="D31" authorId="0" shapeId="0" xr:uid="{B02341D8-2102-4177-8479-32660DC6FAA8}">
      <text>
        <r>
          <rPr>
            <sz val="9"/>
            <color indexed="81"/>
            <rFont val="Tahoma"/>
            <family val="2"/>
          </rPr>
          <t>Posa 0 i 1 (o true i false) a dades_sensibles, si us plau.</t>
        </r>
      </text>
    </comment>
    <comment ref="D32" authorId="0" shapeId="0" xr:uid="{61337F81-FDDC-4D66-AC3D-F36168E0216E}">
      <text>
        <r>
          <rPr>
            <sz val="9"/>
            <color indexed="81"/>
            <rFont val="Tahoma"/>
            <family val="2"/>
          </rPr>
          <t>el retard_minuts a hores_de_classe és global per tota l'hora de classe. També guardes els retards individuals a nivell alumne. Està bé, sempre que s'entengui que el de hores_de_classe és per si s'ha hagut de retrassar la classe uns minuts per algun motiu.</t>
        </r>
      </text>
    </comment>
    <comment ref="C37" authorId="1" shapeId="0" xr:uid="{5FA7C312-9FC0-40FD-B375-9552BF63FA39}">
      <text>
        <r>
          <rPr>
            <sz val="9"/>
            <color indexed="81"/>
            <rFont val="Tahoma"/>
            <charset val="1"/>
          </rPr>
          <t>Falta guardar si està revocat o no un token amb un camp boolean "revoked" o similar a la taula "sessio".</t>
        </r>
      </text>
    </comment>
    <comment ref="D37" authorId="1" shapeId="0" xr:uid="{B9DAB2E5-43C7-4FE9-AA53-BCEF2ADC0549}">
      <text>
        <r>
          <rPr>
            <sz val="9"/>
            <color indexed="81"/>
            <rFont val="Tahoma"/>
            <charset val="1"/>
          </rPr>
          <t>Falta guardar si està revocat o no un token amb un camp boolean "revoked" o similar a la taula "sessio".</t>
        </r>
      </text>
    </comment>
    <comment ref="C39" authorId="1" shapeId="0" xr:uid="{B64F4D01-E302-49F5-A444-3C5C4019244E}">
      <text>
        <r>
          <rPr>
            <sz val="9"/>
            <color indexed="81"/>
            <rFont val="Tahoma"/>
            <charset val="1"/>
          </rPr>
          <t>Falta guardar si està revocat o no un token amb un camp boolean "revoked" o similar a la taula "sessions".</t>
        </r>
      </text>
    </comment>
    <comment ref="D39" authorId="1" shapeId="0" xr:uid="{24EF0E11-FBA7-4E26-B064-0302CBF6723B}">
      <text>
        <r>
          <rPr>
            <sz val="9"/>
            <color indexed="81"/>
            <rFont val="Tahoma"/>
            <charset val="1"/>
          </rPr>
          <t>Falta guardar si està revocat o no un token amb un camp boolean "revoked" o similar a la taula "sessions".</t>
        </r>
      </text>
    </comment>
    <comment ref="C40" authorId="0" shapeId="0" xr:uid="{6136A18C-E41E-412F-B4F9-5EDF223836D7}">
      <text>
        <r>
          <rPr>
            <sz val="9"/>
            <color indexed="81"/>
            <rFont val="Tahoma"/>
            <family val="2"/>
          </rPr>
          <t>No es desa aquesta informació o no puc localitzar-ho.</t>
        </r>
      </text>
    </comment>
    <comment ref="D40" authorId="0" shapeId="0" xr:uid="{C3B59F26-E8AA-43E9-A6BE-5EF95E1C9357}">
      <text>
        <r>
          <rPr>
            <sz val="9"/>
            <color indexed="81"/>
            <rFont val="Tahoma"/>
            <family val="2"/>
          </rPr>
          <t>No es desa aquesta informació o no puc localitzar-ho.</t>
        </r>
      </text>
    </comment>
    <comment ref="C43" authorId="0" shapeId="0" xr:uid="{BFF0BCE3-46CB-4BE4-8E17-F14E336750E5}">
      <text>
        <r>
          <rPr>
            <sz val="9"/>
            <color indexed="81"/>
            <rFont val="Tahoma"/>
            <family val="2"/>
          </rPr>
          <t>No es desa aquesta informació o no puc localitzar-ho.</t>
        </r>
      </text>
    </comment>
    <comment ref="D43" authorId="0" shapeId="0" xr:uid="{8B5DFDAF-4B7A-4253-A951-9AAA114EC390}">
      <text>
        <r>
          <rPr>
            <sz val="9"/>
            <color indexed="81"/>
            <rFont val="Tahoma"/>
            <family val="2"/>
          </rPr>
          <t>No es desa aquesta informació o no puc localitzar-ho.</t>
        </r>
      </text>
    </comment>
    <comment ref="C44" authorId="0" shapeId="0" xr:uid="{A25B8E60-10D5-4B27-BAC7-91A25B563418}">
      <text>
        <r>
          <rPr>
            <sz val="9"/>
            <color indexed="81"/>
            <rFont val="Tahoma"/>
            <family val="2"/>
          </rPr>
          <t xml:space="preserve">En alta alumne:
- Incosistencia d'alguns noms (usuaris i usuari).
- No es tracta el cas "persona inexistent".
- Password hardcoded per tothom.
En Baixa alumne:
- valor ENUM incorrecte compara abandona amb abandonat.
- el trigger no guarda el motiu, fer un procediment procedure per guardar el motiu?
Graduació:
- exalumne no sempre equival ha "ha finalitzat" un estudi ja que pot abandonar.
- també pot disparar el trigger de baixa.
Promoció:
- s'ha de tenir en compte el curs academic, no l'any natural.
</t>
        </r>
      </text>
    </comment>
    <comment ref="D44" authorId="0" shapeId="0" xr:uid="{B610B5B5-34D4-43E6-9AD7-16B2D23D1193}">
      <text>
        <r>
          <rPr>
            <sz val="9"/>
            <color indexed="81"/>
            <rFont val="Tahoma"/>
            <family val="2"/>
          </rPr>
          <t xml:space="preserve">En alta alumne:
- Incosistencia d'alguns noms (usuaris i usuari).
- No es tracta el cas "persona inexistent".
- Password hardcoded per tothom.
En Baixa alumne:
- valor ENUM incorrecte compara abandona amb abandonat.
- el trigger no guarda el motiu, fer un procediment procedure per guardar el motiu?
Graduació:
- exalumne no sempre equival ha "ha finalitzat" un estudi ja que pot abandonar.
- també pot disparar el trigger de baixa.
Promoció:
- s'ha de tenir en compte el curs academic, no l'any natural.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Jaume Alcazo</author>
  </authors>
  <commentList>
    <comment ref="D12" authorId="0" shapeId="0" xr:uid="{5377E570-FBCC-41BA-A9CC-50FF7B62C0AE}">
      <text>
        <r>
          <rPr>
            <sz val="9"/>
            <color indexed="81"/>
            <rFont val="Tahoma"/>
            <charset val="1"/>
          </rPr>
          <t>No hi ha 10 files d'exemple.</t>
        </r>
      </text>
    </comment>
    <comment ref="D13" authorId="0" shapeId="0" xr:uid="{66E38820-E343-4E35-A1F1-FBEF75203F7B}">
      <text>
        <r>
          <rPr>
            <sz val="9"/>
            <color indexed="81"/>
            <rFont val="Tahoma"/>
            <charset val="1"/>
          </rPr>
          <t>No hi ha 10 files d'exemple.</t>
        </r>
      </text>
    </comment>
    <comment ref="D14" authorId="0" shapeId="0" xr:uid="{22882B1F-02F1-4D9B-AE3D-337D23CF7F04}">
      <text>
        <r>
          <rPr>
            <sz val="9"/>
            <color indexed="81"/>
            <rFont val="Tahoma"/>
            <charset val="1"/>
          </rPr>
          <t>No hi ha 10 files d'exemple.</t>
        </r>
      </text>
    </comment>
    <comment ref="D15" authorId="0" shapeId="0" xr:uid="{7FE3EE24-9753-46F9-9580-12A80501CB5D}">
      <text>
        <r>
          <rPr>
            <sz val="9"/>
            <color indexed="81"/>
            <rFont val="Tahoma"/>
            <charset val="1"/>
          </rPr>
          <t>No hi ha 10 files d'exemple.</t>
        </r>
      </text>
    </comment>
    <comment ref="D16" authorId="0" shapeId="0" xr:uid="{8A34D3EB-CDC2-4F29-A42C-0DD27455E670}">
      <text>
        <r>
          <rPr>
            <sz val="9"/>
            <color indexed="81"/>
            <rFont val="Tahoma"/>
            <charset val="1"/>
          </rPr>
          <t>No hi ha 10 files d'exemple.
No hi ha les 10 fotos d'exemple mínim, adjuntades com a .jpg o .png, en algun lloc del repositori a GitHub.</t>
        </r>
      </text>
    </comment>
    <comment ref="D17" authorId="0" shapeId="0" xr:uid="{DAF4B470-B08D-40A5-B6A8-E4D5B7086DDD}">
      <text>
        <r>
          <rPr>
            <sz val="9"/>
            <color indexed="81"/>
            <rFont val="Tahoma"/>
            <charset val="1"/>
          </rPr>
          <t>No hi ha 10 files d'exemple.</t>
        </r>
      </text>
    </comment>
    <comment ref="D18" authorId="0" shapeId="0" xr:uid="{F36D5288-D82F-4C9D-A46B-DACA72E0E370}">
      <text>
        <r>
          <rPr>
            <sz val="9"/>
            <color indexed="81"/>
            <rFont val="Tahoma"/>
            <charset val="1"/>
          </rPr>
          <t>No hi ha les 10 files d'exemple.
No es pot saber en quina classe va un estudiant.
Es necessita una FK a estudiant per relacionar-ho amb el grup classe, que estigui ben definida i amb files d'exemple per poder valorar que els enllaços que fa el phpMyAdmin funcionin, per això baixa tant aquest apartat.</t>
        </r>
      </text>
    </comment>
    <comment ref="D19" authorId="0" shapeId="0" xr:uid="{E8CD95D8-63A7-49DB-B010-22980D080D85}">
      <text>
        <r>
          <rPr>
            <sz val="9"/>
            <color indexed="81"/>
            <rFont val="Tahoma"/>
            <charset val="1"/>
          </rPr>
          <t>No hi ha 10 files d'exemple.</t>
        </r>
      </text>
    </comment>
    <comment ref="C21" authorId="0" shapeId="0" xr:uid="{F3BE0973-012D-4FAB-90CA-BB6E3F412494}">
      <text>
        <r>
          <rPr>
            <sz val="9"/>
            <color indexed="81"/>
            <rFont val="Tahoma"/>
            <charset val="1"/>
          </rPr>
          <t>Està a estudis_anteriors</t>
        </r>
      </text>
    </comment>
    <comment ref="D21" authorId="0" shapeId="0" xr:uid="{35B47468-A2F1-4576-91C0-194C5062F22A}">
      <text>
        <r>
          <rPr>
            <sz val="9"/>
            <color indexed="81"/>
            <rFont val="Tahoma"/>
            <charset val="1"/>
          </rPr>
          <t>Està a estudis_anteriors
No hi ha 10 files d'exemple. No puc valorar correctament els enllaços que fa el phpMyAdmin al posar files d'exemple, per veure si les FK funcionen bé.</t>
        </r>
      </text>
    </comment>
    <comment ref="D22" authorId="0" shapeId="0" xr:uid="{DBBF69EE-59B3-4CD1-9E6E-EB528CADC3F8}">
      <text>
        <r>
          <rPr>
            <sz val="9"/>
            <color indexed="81"/>
            <rFont val="Tahoma"/>
            <charset val="1"/>
          </rPr>
          <t>No hi ha 10 files d'exemple.</t>
        </r>
      </text>
    </comment>
    <comment ref="D23" authorId="0" shapeId="0" xr:uid="{9C5259AC-E55D-4A00-8305-2D53AB089A0C}">
      <text>
        <r>
          <rPr>
            <sz val="9"/>
            <color indexed="81"/>
            <rFont val="Tahoma"/>
            <charset val="1"/>
          </rPr>
          <t>No hi ha 10 files d'exemple.</t>
        </r>
      </text>
    </comment>
    <comment ref="D24" authorId="0" shapeId="0" xr:uid="{F0CDCDBA-9FAF-4203-BF21-F4A2A8A317DC}">
      <text>
        <r>
          <rPr>
            <sz val="9"/>
            <color indexed="81"/>
            <rFont val="Tahoma"/>
            <charset val="1"/>
          </rPr>
          <t>No hi ha 10 files d'exemple.</t>
        </r>
      </text>
    </comment>
    <comment ref="D25" authorId="0" shapeId="0" xr:uid="{BE941461-2811-4524-9331-0B7D52C2E6EE}">
      <text>
        <r>
          <rPr>
            <sz val="9"/>
            <color indexed="81"/>
            <rFont val="Tahoma"/>
            <charset val="1"/>
          </rPr>
          <t>No hi ha 10 files d'exemple.</t>
        </r>
      </text>
    </comment>
    <comment ref="D28" authorId="0" shapeId="0" xr:uid="{99627CBB-973D-4411-AB0F-1F7D8727E626}">
      <text>
        <r>
          <rPr>
            <sz val="9"/>
            <color indexed="81"/>
            <rFont val="Tahoma"/>
            <charset val="1"/>
          </rPr>
          <t>No hi ha 10 files d'exemple.</t>
        </r>
      </text>
    </comment>
    <comment ref="D29" authorId="0" shapeId="0" xr:uid="{0ED3BBAA-F076-4B2A-AC37-0C5E314F3A45}">
      <text>
        <r>
          <rPr>
            <sz val="9"/>
            <color indexed="81"/>
            <rFont val="Tahoma"/>
            <charset val="1"/>
          </rPr>
          <t>No hi ha 10 files d'exemple.</t>
        </r>
      </text>
    </comment>
    <comment ref="D30" authorId="0" shapeId="0" xr:uid="{8F0456C9-3408-4511-9DA3-4DA2D36810DD}">
      <text>
        <r>
          <rPr>
            <sz val="9"/>
            <color indexed="81"/>
            <rFont val="Tahoma"/>
            <charset val="1"/>
          </rPr>
          <t>No hi ha 10 files d'exemple.</t>
        </r>
      </text>
    </comment>
    <comment ref="D31" authorId="0" shapeId="0" xr:uid="{11363309-4D7A-4BDC-9B1F-F57DF02FCF45}">
      <text>
        <r>
          <rPr>
            <sz val="9"/>
            <color indexed="81"/>
            <rFont val="Tahoma"/>
            <charset val="1"/>
          </rPr>
          <t>No hi ha 10 files d'exemple.</t>
        </r>
      </text>
    </comment>
    <comment ref="C32" authorId="0" shapeId="0" xr:uid="{10D92CF8-881B-4F2E-AA89-AC8A8D9C1879}">
      <text>
        <r>
          <rPr>
            <sz val="9"/>
            <color indexed="81"/>
            <rFont val="Tahoma"/>
            <charset val="1"/>
          </rPr>
          <t>Hi ha massa informació duplicada a assistance, ho entendreu quan agregeu files d'exemple. Agregeu-ne 2 o 3 i veureu que ha de canviar el disseny per no repetir tantes dades i fer la BD susceptible a incoherència en actualitzacions.</t>
        </r>
      </text>
    </comment>
    <comment ref="D32" authorId="0" shapeId="0" xr:uid="{82E5B766-0A73-4DA4-BCA3-1F0795D1EB70}">
      <text>
        <r>
          <rPr>
            <sz val="9"/>
            <color indexed="81"/>
            <rFont val="Tahoma"/>
            <charset val="1"/>
          </rPr>
          <t>Hi ha massa informació duplicada a assistance, ho entendreu quan agregeu files d'exemple. Agregeu-ne 2 o 3 i veureu que ha de canviar el disseny per no repetir tantes dades i fer la BD susceptible a incoherència en actualitzacions.
A part de per aquest disseny incorrecte, penalitzo per no existir les 10 files d'exemple.</t>
        </r>
      </text>
    </comment>
    <comment ref="D33" authorId="0" shapeId="0" xr:uid="{094034F8-9AD7-4332-A11F-D401C483929B}">
      <text>
        <r>
          <rPr>
            <sz val="9"/>
            <color indexed="81"/>
            <rFont val="Tahoma"/>
            <charset val="1"/>
          </rPr>
          <t>Falta el timestamp. Els intents sobren, aquesta informació es pot obtenir amb consulta SQL fent un COUNT ... WHERE... i és millor d'aquesta forma per evitar incoherència d'actualitzacions de la BD. Un cop més: agregueu files d'exemple i ho entendreu.</t>
        </r>
      </text>
    </comment>
    <comment ref="D34" authorId="0" shapeId="0" xr:uid="{3F128B20-F7C2-4CA9-B157-419B459BA612}">
      <text>
        <r>
          <rPr>
            <sz val="9"/>
            <color indexed="81"/>
            <rFont val="Tahoma"/>
            <charset val="1"/>
          </rPr>
          <t>No hi ha 10 files d'exemple.</t>
        </r>
      </text>
    </comment>
    <comment ref="C37" authorId="0" shapeId="0" xr:uid="{DF8F15D4-5349-4479-90AE-71E3FCBB3B79}">
      <text>
        <r>
          <rPr>
            <sz val="9"/>
            <color indexed="81"/>
            <rFont val="Tahoma"/>
            <charset val="1"/>
          </rPr>
          <t>No es desa si està revocat un token o no en cap lloc que jo pugui trobar, si m'equivoco dieu-ho.</t>
        </r>
      </text>
    </comment>
    <comment ref="D37" authorId="0" shapeId="0" xr:uid="{809E6A51-8F3E-42A9-A673-05B0AD1C40A6}">
      <text>
        <r>
          <rPr>
            <sz val="9"/>
            <color indexed="81"/>
            <rFont val="Tahoma"/>
            <charset val="1"/>
          </rPr>
          <t>No es desa si està revocat un token o no en cap lloc que jo pugui trobar, si m'equivoco dieu-ho.</t>
        </r>
      </text>
    </comment>
    <comment ref="C39" authorId="0" shapeId="0" xr:uid="{57FF7898-DA36-44F5-AEC2-6292B9D21753}">
      <text>
        <r>
          <rPr>
            <sz val="9"/>
            <color indexed="81"/>
            <rFont val="Tahoma"/>
            <charset val="1"/>
          </rPr>
          <t>No es desa si està revocat un token o no en cap lloc que jo pugui trobar, si m'equivoco dieu-ho.</t>
        </r>
      </text>
    </comment>
    <comment ref="D39" authorId="0" shapeId="0" xr:uid="{7F880BFC-AD98-4FC0-B9E5-AB34F0E344F0}">
      <text>
        <r>
          <rPr>
            <sz val="9"/>
            <color indexed="81"/>
            <rFont val="Tahoma"/>
            <charset val="1"/>
          </rPr>
          <t>No es desa si està revocat un token o no en cap lloc que jo pugui trobar, si m'equivoco dieu-ho.
No hi ha 10 files d'exemple.</t>
        </r>
      </text>
    </comment>
    <comment ref="C40" authorId="0" shapeId="0" xr:uid="{862151DC-EA49-4D86-ABEE-BC7857C8C1DB}">
      <text>
        <r>
          <rPr>
            <sz val="9"/>
            <color indexed="81"/>
            <rFont val="Tahoma"/>
            <charset val="1"/>
          </rPr>
          <t>Falta la taula per a UF's.</t>
        </r>
      </text>
    </comment>
    <comment ref="D40" authorId="0" shapeId="0" xr:uid="{35232198-0D72-425B-B6BA-1C9BE1993AD0}">
      <text>
        <r>
          <rPr>
            <sz val="9"/>
            <color indexed="81"/>
            <rFont val="Tahoma"/>
            <charset val="1"/>
          </rPr>
          <t>Falta la taula per a UF's.
No hi ha 10 files d'exemple.</t>
        </r>
      </text>
    </comment>
    <comment ref="D41" authorId="0" shapeId="0" xr:uid="{4E02FE8F-7CFC-4CC1-B89B-8166C3C636F8}">
      <text>
        <r>
          <rPr>
            <sz val="9"/>
            <color indexed="81"/>
            <rFont val="Tahoma"/>
            <charset val="1"/>
          </rPr>
          <t>No hi ha 10 files d'exemple.</t>
        </r>
      </text>
    </comment>
    <comment ref="D42" authorId="0" shapeId="0" xr:uid="{40F2D8E2-E05F-4177-AA9A-AEED9ABEC1C6}">
      <text>
        <r>
          <rPr>
            <sz val="9"/>
            <color indexed="81"/>
            <rFont val="Tahoma"/>
            <charset val="1"/>
          </rPr>
          <t>No hi ha 10 files d'exemple.</t>
        </r>
      </text>
    </comment>
    <comment ref="C43" authorId="0" shapeId="0" xr:uid="{DAA18E04-7CA0-43C0-98EF-2252E80607C7}">
      <text>
        <r>
          <rPr>
            <sz val="9"/>
            <color indexed="81"/>
            <rFont val="Tahoma"/>
            <charset val="1"/>
          </rPr>
          <t>No ho trobo enlloc. Si m'equivoco dieu-ho.</t>
        </r>
      </text>
    </comment>
    <comment ref="D43" authorId="0" shapeId="0" xr:uid="{8D7C7830-E57E-4371-AF2B-F25271EA236A}">
      <text>
        <r>
          <rPr>
            <sz val="9"/>
            <color indexed="81"/>
            <rFont val="Tahoma"/>
            <charset val="1"/>
          </rPr>
          <t>No ho trobo enlloc. Si m'equivoco dieu-ho.</t>
        </r>
      </text>
    </comment>
    <comment ref="C44" authorId="0" shapeId="0" xr:uid="{34B72872-5517-4092-BE70-A0AC86E11804}">
      <text>
        <r>
          <rPr>
            <sz val="9"/>
            <color indexed="81"/>
            <rFont val="Tahoma"/>
            <charset val="1"/>
          </rPr>
          <t>No ho trobo enlloc. Si m'equivoco dieu-ho.</t>
        </r>
      </text>
    </comment>
    <comment ref="D44" authorId="0" shapeId="0" xr:uid="{80F3F64C-71B1-40A0-B561-A6864E734C92}">
      <text>
        <r>
          <rPr>
            <sz val="9"/>
            <color indexed="81"/>
            <rFont val="Tahoma"/>
            <charset val="1"/>
          </rPr>
          <t>No ho trobo enlloc. Si m'equivoco dieu-ho.</t>
        </r>
      </text>
    </comment>
  </commentList>
</comments>
</file>

<file path=xl/sharedStrings.xml><?xml version="1.0" encoding="utf-8"?>
<sst xmlns="http://schemas.openxmlformats.org/spreadsheetml/2006/main" count="280" uniqueCount="86">
  <si>
    <t>TOTAL</t>
  </si>
  <si>
    <r>
      <t>BD (</t>
    </r>
    <r>
      <rPr>
        <b/>
        <sz val="11"/>
        <color theme="1"/>
        <rFont val="Calibri"/>
        <family val="2"/>
        <scheme val="minor"/>
      </rPr>
      <t>M2</t>
    </r>
    <r>
      <rPr>
        <sz val="11"/>
        <color theme="1"/>
        <rFont val="Calibri"/>
        <family val="2"/>
        <scheme val="minor"/>
      </rPr>
      <t>)</t>
    </r>
  </si>
  <si>
    <r>
      <rPr>
        <b/>
        <sz val="11"/>
        <color theme="1"/>
        <rFont val="Calibri"/>
        <family val="2"/>
        <scheme val="minor"/>
      </rPr>
      <t>Diagrames del projecte</t>
    </r>
    <r>
      <rPr>
        <sz val="11"/>
        <color theme="1"/>
        <rFont val="Calibri"/>
        <family val="2"/>
        <scheme val="minor"/>
      </rPr>
      <t xml:space="preserve"> (M5, Projecte, M3)</t>
    </r>
  </si>
  <si>
    <r>
      <rPr>
        <b/>
        <sz val="11"/>
        <color theme="1"/>
        <rFont val="Calibri"/>
        <family val="2"/>
        <scheme val="minor"/>
      </rPr>
      <t>1.</t>
    </r>
    <r>
      <rPr>
        <sz val="11"/>
        <color theme="1"/>
        <rFont val="Calibri"/>
        <family val="2"/>
        <scheme val="minor"/>
      </rPr>
      <t xml:space="preserve"> Diagrames de casos d'ús del projecte</t>
    </r>
  </si>
  <si>
    <t>Nota orientativa 1er trimestre</t>
  </si>
  <si>
    <t>Diagrama E-R</t>
  </si>
  <si>
    <r>
      <rPr>
        <b/>
        <sz val="11"/>
        <color theme="1"/>
        <rFont val="Calibri"/>
        <family val="2"/>
        <scheme val="minor"/>
      </rPr>
      <t>2.</t>
    </r>
    <r>
      <rPr>
        <sz val="11"/>
        <color theme="1"/>
        <rFont val="Calibri"/>
        <family val="2"/>
        <scheme val="minor"/>
      </rPr>
      <t xml:space="preserve"> Diagrames wireframes/mockups de mòbil/desktop</t>
    </r>
  </si>
  <si>
    <r>
      <rPr>
        <b/>
        <sz val="11"/>
        <color theme="1"/>
        <rFont val="Calibri"/>
        <family val="2"/>
        <scheme val="minor"/>
      </rPr>
      <t>3.</t>
    </r>
    <r>
      <rPr>
        <sz val="11"/>
        <color theme="1"/>
        <rFont val="Calibri"/>
        <family val="2"/>
        <scheme val="minor"/>
      </rPr>
      <t xml:space="preserve"> Diagrama de components</t>
    </r>
  </si>
  <si>
    <r>
      <rPr>
        <b/>
        <sz val="11"/>
        <color theme="1"/>
        <rFont val="Calibri"/>
        <family val="2"/>
        <scheme val="minor"/>
      </rPr>
      <t>4.</t>
    </r>
    <r>
      <rPr>
        <sz val="11"/>
        <color theme="1"/>
        <rFont val="Calibri"/>
        <family val="2"/>
        <scheme val="minor"/>
      </rPr>
      <t xml:space="preserve"> Diagrama de flux</t>
    </r>
  </si>
  <si>
    <t>Nota orientativa 1er TRIM</t>
  </si>
  <si>
    <r>
      <t xml:space="preserve">     </t>
    </r>
    <r>
      <rPr>
        <b/>
        <sz val="11"/>
        <color theme="1"/>
        <rFont val="Calibri"/>
        <family val="2"/>
        <scheme val="minor"/>
      </rPr>
      <t>1.1</t>
    </r>
    <r>
      <rPr>
        <sz val="11"/>
        <color theme="1"/>
        <rFont val="Calibri"/>
        <family val="2"/>
        <scheme val="minor"/>
      </rPr>
      <t xml:space="preserve"> General</t>
    </r>
  </si>
  <si>
    <t>TOTAL sobre 10</t>
  </si>
  <si>
    <t>Sobre 10</t>
  </si>
  <si>
    <t>Projecte DAM2 INS Carrella 2025-2026</t>
  </si>
  <si>
    <r>
      <t xml:space="preserve">     </t>
    </r>
    <r>
      <rPr>
        <b/>
        <sz val="11"/>
        <color theme="1"/>
        <rFont val="Calibri"/>
        <family val="2"/>
        <scheme val="minor"/>
      </rPr>
      <t>1.4</t>
    </r>
    <r>
      <rPr>
        <sz val="11"/>
        <color theme="1"/>
        <rFont val="Calibri"/>
        <family val="2"/>
        <scheme val="minor"/>
      </rPr>
      <t xml:space="preserve"> Consulta de l'expedient via app mòbil</t>
    </r>
  </si>
  <si>
    <r>
      <t xml:space="preserve">     </t>
    </r>
    <r>
      <rPr>
        <b/>
        <sz val="11"/>
        <color theme="1"/>
        <rFont val="Calibri"/>
        <family val="2"/>
        <scheme val="minor"/>
      </rPr>
      <t>1.3</t>
    </r>
    <r>
      <rPr>
        <sz val="11"/>
        <color theme="1"/>
        <rFont val="Calibri"/>
        <family val="2"/>
        <scheme val="minor"/>
      </rPr>
      <t xml:space="preserve"> Introducció de notes</t>
    </r>
  </si>
  <si>
    <r>
      <t xml:space="preserve">     </t>
    </r>
    <r>
      <rPr>
        <b/>
        <sz val="11"/>
        <color theme="1"/>
        <rFont val="Calibri"/>
        <family val="2"/>
        <scheme val="minor"/>
      </rPr>
      <t>1.2</t>
    </r>
    <r>
      <rPr>
        <sz val="11"/>
        <color theme="1"/>
        <rFont val="Calibri"/>
        <family val="2"/>
        <scheme val="minor"/>
      </rPr>
      <t xml:space="preserve"> Sessió d'avaluació</t>
    </r>
  </si>
  <si>
    <r>
      <t xml:space="preserve">     </t>
    </r>
    <r>
      <rPr>
        <b/>
        <sz val="11"/>
        <color theme="1"/>
        <rFont val="Calibri"/>
        <family val="2"/>
        <scheme val="minor"/>
      </rPr>
      <t>2.2</t>
    </r>
    <r>
      <rPr>
        <sz val="11"/>
        <color theme="1"/>
        <rFont val="Calibri"/>
        <family val="2"/>
        <scheme val="minor"/>
      </rPr>
      <t xml:space="preserve"> Consulta d'expedient</t>
    </r>
  </si>
  <si>
    <r>
      <t xml:space="preserve">     </t>
    </r>
    <r>
      <rPr>
        <b/>
        <sz val="11"/>
        <color theme="1"/>
        <rFont val="Calibri"/>
        <family val="2"/>
        <scheme val="minor"/>
      </rPr>
      <t>2.1</t>
    </r>
    <r>
      <rPr>
        <sz val="11"/>
        <color theme="1"/>
        <rFont val="Calibri"/>
        <family val="2"/>
        <scheme val="minor"/>
      </rPr>
      <t xml:space="preserve"> Introducció de notes</t>
    </r>
  </si>
  <si>
    <r>
      <t xml:space="preserve">     </t>
    </r>
    <r>
      <rPr>
        <b/>
        <sz val="11"/>
        <color theme="1"/>
        <rFont val="Calibri"/>
        <family val="2"/>
        <scheme val="minor"/>
      </rPr>
      <t>4.2</t>
    </r>
    <r>
      <rPr>
        <sz val="11"/>
        <color theme="1"/>
        <rFont val="Calibri"/>
        <family val="2"/>
        <scheme val="minor"/>
      </rPr>
      <t xml:space="preserve"> Consulta d'expedient</t>
    </r>
  </si>
  <si>
    <r>
      <t xml:space="preserve">     </t>
    </r>
    <r>
      <rPr>
        <b/>
        <sz val="11"/>
        <color theme="1"/>
        <rFont val="Calibri"/>
        <family val="2"/>
        <scheme val="minor"/>
      </rPr>
      <t>4.1</t>
    </r>
    <r>
      <rPr>
        <sz val="11"/>
        <color theme="1"/>
        <rFont val="Calibri"/>
        <family val="2"/>
        <scheme val="minor"/>
      </rPr>
      <t xml:space="preserve"> Introducció de notes</t>
    </r>
  </si>
  <si>
    <t>Implementació SQL
amb 10 dades
d'exemple mínim</t>
  </si>
  <si>
    <t>Dona el següent error en l'script de creació de la BD, darrera versió:</t>
  </si>
  <si>
    <t>Als inserts no dona cap error.</t>
  </si>
  <si>
    <t>Suggereixo millorar el diagrama E-R usant diversos colors en diverses taules, ja que tot</t>
  </si>
  <si>
    <t>del mateix color costa d'entendre.</t>
  </si>
  <si>
    <t>GRUP Sergi i Elias</t>
  </si>
  <si>
    <t>https://github.com/INS-Caparrella/projecte-dam2-25-26-edu_nami</t>
  </si>
  <si>
    <t>GRUP Naminata i Edumary</t>
  </si>
  <si>
    <t>https://github.com/seergiip/Project-EVALIS</t>
  </si>
  <si>
    <t>Dona error a l'importar funcions.sql, la creació de la BD i els inserts van bé.</t>
  </si>
  <si>
    <t>No s'avalua aquest punt.</t>
  </si>
  <si>
    <t>Cal corregir aquest error abans de poder corregir la part de funcions (triggers).</t>
  </si>
  <si>
    <t>GRUP Julio i Hugo</t>
  </si>
  <si>
    <t>https://github.com/INS-Caparrella/projecte-dam2-25-26-jugo</t>
  </si>
  <si>
    <t>https://github.com/MarcBergeComella/Projecte-25-26</t>
  </si>
  <si>
    <t>GRUP Marc Bergé i Maria Blanch</t>
  </si>
  <si>
    <t>Suspesa aquesta avaluació orientativa al grup, per haver usat IA de forma flagrant i entregar un resultat molt dolent.</t>
  </si>
  <si>
    <t>GRUP Abde i Camilo</t>
  </si>
  <si>
    <t>https://github.com/pierosanchez098/ProjecteAvance</t>
  </si>
  <si>
    <t>GRUP Piero (va sol)</t>
  </si>
  <si>
    <t>No és conforme a UML explicat a classe. Apareix un sistema que no pot existir en aquest diagrama.</t>
  </si>
  <si>
    <t>No és UML. Veig que els casos estan representats per cercles. Generat amb una eina que no pertoca.</t>
  </si>
  <si>
    <t>Té la pinta d'estar fet amb IA.</t>
  </si>
  <si>
    <t>Incorrecte. Veig confusió. No s'ha entès el que es demana.</t>
  </si>
  <si>
    <t>Parleu amb en Jordi.</t>
  </si>
  <si>
    <t>Capa intermèdia es una API Rest.</t>
  </si>
  <si>
    <t>Son dos processos diferents.</t>
  </si>
  <si>
    <t>La consulta de l'expedient la fa només l'alumne via mòbil. La introducció de notes es Desktop</t>
  </si>
  <si>
    <t>Només per la presentació es veu que està fet per a NO ser llegit per un humà.</t>
  </si>
  <si>
    <t>En la sessió d'avalauació no es configura l'estructura del centre.</t>
  </si>
  <si>
    <t>Crec que has fet un UML que va més enllà. El mòbil es només per a l'alumne.</t>
  </si>
  <si>
    <t>WEB !!!!!!???????</t>
  </si>
  <si>
    <t>Bé. Heu escollit generar tot en pdfs. penseu si l'expedient actual es millor visualitzar-lo com un llistat de notes (no un pdf) pot ser més intuitiu.</t>
  </si>
  <si>
    <t>El fet a classe</t>
  </si>
  <si>
    <t>A la sessió d'avaluació tb hi intervé el professor que posa notes. Heu fet la part del cap d'estudi.</t>
  </si>
  <si>
    <t>què vol dir, alumne - gestió matricula? voleu dir consulta expedient?</t>
  </si>
  <si>
    <t>No fet</t>
  </si>
  <si>
    <t>Bé</t>
  </si>
  <si>
    <t>Comproveu que teniu el components disponibles al WinForms</t>
  </si>
  <si>
    <t>el fet a classe</t>
  </si>
  <si>
    <t>no fet</t>
  </si>
  <si>
    <t>Regular notes? què vol dir. gestió grup? posar titol al sistema. no sé quin és.</t>
  </si>
  <si>
    <t>Entre per examen, quan és per RA a moduls, i per matèria a la ESO/BATX</t>
  </si>
  <si>
    <t>El mateix, penseu que ESO va per trimestres i cicles per RA´s, sols que es fan butlletins trimestrals.</t>
  </si>
  <si>
    <t>No es presentable. tots els diagramaes tenen pinta d'estar generats per IA.</t>
  </si>
  <si>
    <t>No es presentable.</t>
  </si>
  <si>
    <t>Base de dades</t>
  </si>
  <si>
    <t>Login</t>
  </si>
  <si>
    <t>Funciona incorrecte amb missatge d'error</t>
  </si>
  <si>
    <t>Funciona login correcte amb connexió HTTPS a la BD</t>
  </si>
  <si>
    <t>Usa hash?</t>
  </si>
  <si>
    <t>Login per rols, mostra una benvinguda diferent per Professor, Alumne i Cap d'estudis.</t>
  </si>
  <si>
    <t>Secció "els meus professors"</t>
  </si>
  <si>
    <t>Puntuació màxima</t>
  </si>
  <si>
    <t>Es pot accedir a aquesta secció si entres com a alumne?</t>
  </si>
  <si>
    <t>Android Studio, nota orientativa 2on trimestre, Projecte</t>
  </si>
  <si>
    <t>Es mostren fotos diferents per a alumnes diferents?</t>
  </si>
  <si>
    <t>Es mostren en format vertical?</t>
  </si>
  <si>
    <t>Es mostren les assignatures que dona aquest prof a aquest alum?</t>
  </si>
  <si>
    <t>Menú amb fragments o equivalent</t>
  </si>
  <si>
    <t>Altres</t>
  </si>
  <si>
    <t>Internacionalització de tota l’app en 4 idiomes</t>
  </si>
  <si>
    <t>Consulta d'expedient d'alumne</t>
  </si>
  <si>
    <t>Notificació de notes</t>
  </si>
  <si>
    <t>Funciona i va a diferents seccions al clicar?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</si>
</sst>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
      <name val="Calibri"/>
      <family val="2"/>
      <scheme val="minor"/>
    </font>
    <font>
      <i/>
      <sz val="11"/>
      <color theme="1"/>
      <name val="Calibri"/>
      <family val="2"/>
      <scheme val="minor"/>
    </font>
    <font>
      <sz val="9"/>
      <color indexed="81"/>
      <name val="Tahoma"/>
      <charset val="1"/>
    </font>
    <font>
      <b/>
      <sz val="9"/>
      <color indexed="81"/>
      <name val="Tahoma"/>
      <charset val="1"/>
    </font>
    <font>
      <sz val="9"/>
      <color indexed="81"/>
      <name val="Tahoma"/>
      <family val="2"/>
    </font>
    <font>
      <u/>
      <sz val="11"/>
      <color theme="10"/>
      <name val="Calibri"/>
      <family val="2"/>
      <scheme val="minor"/>
    </font>
    <font>
      <b/>
      <sz val="9"/>
      <color indexed="81"/>
      <name val="Tahoma"/>
      <family val="2"/>
    </font>
    <font>
      <sz val="10"/>
      <color theme="1"/>
      <name val="Arial"/>
      <family val="2"/>
    </font>
  </fonts>
  <fills count="15">
    <fill>
      <patternFill patternType="none"/>
    </fill>
    <fill>
      <patternFill patternType="gray125"/>
    </fill>
    <fill>
      <patternFill patternType="solid">
        <fgColor theme="4" tint="0.39997558519241921"/>
        <bgColor indexed="64"/>
      </patternFill>
    </fill>
    <fill>
      <patternFill patternType="solid">
        <fgColor rgb="FF92D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102">
    <xf numFmtId="0" fontId="0" fillId="0" borderId="0" xfId="0"/>
    <xf numFmtId="0" fontId="0" fillId="2" borderId="7" xfId="0" applyFill="1" applyBorder="1"/>
    <xf numFmtId="0" fontId="2" fillId="0" borderId="0" xfId="0" applyFont="1"/>
    <xf numFmtId="0" fontId="0" fillId="7" borderId="4" xfId="0" applyFill="1" applyBorder="1"/>
    <xf numFmtId="0" fontId="0" fillId="7" borderId="5" xfId="0" applyFill="1" applyBorder="1"/>
    <xf numFmtId="0" fontId="0" fillId="7" borderId="6" xfId="0" applyFill="1" applyBorder="1"/>
    <xf numFmtId="2" fontId="0" fillId="0" borderId="4" xfId="0" applyNumberFormat="1" applyBorder="1" applyAlignment="1">
      <alignment horizontal="center"/>
    </xf>
    <xf numFmtId="2" fontId="0" fillId="0" borderId="5" xfId="0" applyNumberFormat="1" applyBorder="1" applyAlignment="1">
      <alignment horizontal="center"/>
    </xf>
    <xf numFmtId="2" fontId="0" fillId="0" borderId="6" xfId="0" applyNumberFormat="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4" borderId="9" xfId="0" applyFill="1" applyBorder="1" applyAlignment="1">
      <alignment horizontal="center"/>
    </xf>
    <xf numFmtId="0" fontId="0" fillId="5" borderId="9" xfId="0" applyFill="1" applyBorder="1" applyAlignment="1">
      <alignment horizontal="center"/>
    </xf>
    <xf numFmtId="2" fontId="0" fillId="0" borderId="11" xfId="0" applyNumberFormat="1" applyBorder="1" applyAlignment="1">
      <alignment horizontal="center"/>
    </xf>
    <xf numFmtId="0" fontId="0" fillId="5" borderId="8" xfId="0" applyFill="1" applyBorder="1" applyAlignment="1">
      <alignment horizontal="center"/>
    </xf>
    <xf numFmtId="2" fontId="0" fillId="8" borderId="1" xfId="0" applyNumberFormat="1" applyFill="1" applyBorder="1" applyAlignment="1">
      <alignment horizontal="center"/>
    </xf>
    <xf numFmtId="0" fontId="0" fillId="3" borderId="10" xfId="0" applyFill="1" applyBorder="1" applyAlignment="1">
      <alignment horizontal="center"/>
    </xf>
    <xf numFmtId="0" fontId="0" fillId="0" borderId="0" xfId="0" applyFill="1" applyBorder="1" applyAlignment="1">
      <alignment horizontal="center"/>
    </xf>
    <xf numFmtId="2" fontId="0" fillId="0" borderId="0" xfId="0" applyNumberFormat="1" applyFill="1" applyBorder="1" applyAlignment="1">
      <alignment horizontal="center"/>
    </xf>
    <xf numFmtId="2" fontId="0" fillId="6" borderId="1" xfId="0" applyNumberFormat="1" applyFill="1" applyBorder="1" applyAlignment="1">
      <alignment horizontal="center"/>
    </xf>
    <xf numFmtId="0" fontId="0" fillId="5" borderId="8" xfId="0" applyFill="1" applyBorder="1"/>
    <xf numFmtId="0" fontId="1" fillId="5" borderId="11" xfId="0" applyFont="1" applyFill="1" applyBorder="1"/>
    <xf numFmtId="0" fontId="0" fillId="5" borderId="11" xfId="0" applyFill="1" applyBorder="1"/>
    <xf numFmtId="0" fontId="0" fillId="5" borderId="10" xfId="0" applyFill="1" applyBorder="1"/>
    <xf numFmtId="0" fontId="3" fillId="5" borderId="13" xfId="0" applyFont="1" applyFill="1" applyBorder="1"/>
    <xf numFmtId="0" fontId="0" fillId="5" borderId="13" xfId="0" applyFill="1" applyBorder="1"/>
    <xf numFmtId="0" fontId="0" fillId="0" borderId="0" xfId="0" applyFill="1" applyBorder="1"/>
    <xf numFmtId="0" fontId="3" fillId="0" borderId="0" xfId="0" applyFont="1" applyFill="1" applyBorder="1"/>
    <xf numFmtId="0" fontId="0" fillId="2" borderId="11" xfId="0" applyFill="1" applyBorder="1"/>
    <xf numFmtId="2" fontId="0" fillId="0" borderId="12" xfId="0" applyNumberFormat="1" applyBorder="1" applyAlignment="1">
      <alignment horizontal="center"/>
    </xf>
    <xf numFmtId="0" fontId="0" fillId="2" borderId="2" xfId="0" applyFill="1" applyBorder="1" applyAlignment="1">
      <alignment horizontal="center" vertical="center"/>
    </xf>
    <xf numFmtId="0" fontId="0" fillId="2" borderId="1" xfId="0" applyFill="1" applyBorder="1" applyAlignment="1">
      <alignment horizontal="center" vertical="center" wrapText="1"/>
    </xf>
    <xf numFmtId="0" fontId="0" fillId="5" borderId="8" xfId="0" applyFill="1" applyBorder="1" applyAlignment="1">
      <alignment horizontal="center"/>
    </xf>
    <xf numFmtId="0" fontId="0" fillId="5" borderId="8" xfId="0" applyFill="1" applyBorder="1" applyAlignment="1">
      <alignment horizontal="center"/>
    </xf>
    <xf numFmtId="0" fontId="0" fillId="2" borderId="8" xfId="0" applyFill="1" applyBorder="1" applyAlignment="1">
      <alignment horizontal="center" vertical="center"/>
    </xf>
    <xf numFmtId="2" fontId="0" fillId="0" borderId="9" xfId="0" applyNumberFormat="1" applyBorder="1" applyAlignment="1">
      <alignment horizontal="center"/>
    </xf>
    <xf numFmtId="0" fontId="0" fillId="2" borderId="4" xfId="0" applyFill="1" applyBorder="1" applyAlignment="1">
      <alignment horizontal="center" vertical="center" wrapText="1"/>
    </xf>
    <xf numFmtId="2" fontId="0" fillId="9" borderId="8" xfId="0" applyNumberFormat="1" applyFill="1" applyBorder="1" applyAlignment="1">
      <alignment horizontal="center"/>
    </xf>
    <xf numFmtId="2" fontId="0" fillId="8" borderId="9" xfId="0" applyNumberFormat="1" applyFill="1" applyBorder="1" applyAlignment="1">
      <alignment horizontal="center"/>
    </xf>
    <xf numFmtId="2" fontId="0" fillId="8" borderId="5" xfId="0" applyNumberFormat="1" applyFill="1" applyBorder="1" applyAlignment="1">
      <alignment horizontal="center"/>
    </xf>
    <xf numFmtId="2" fontId="0" fillId="10" borderId="5" xfId="0" applyNumberFormat="1" applyFill="1" applyBorder="1" applyAlignment="1">
      <alignment horizontal="center"/>
    </xf>
    <xf numFmtId="2" fontId="0" fillId="11" borderId="5" xfId="0" applyNumberFormat="1" applyFill="1" applyBorder="1" applyAlignment="1">
      <alignment horizontal="center"/>
    </xf>
    <xf numFmtId="2" fontId="0" fillId="9" borderId="5" xfId="0" applyNumberFormat="1" applyFill="1" applyBorder="1" applyAlignment="1">
      <alignment horizontal="center"/>
    </xf>
    <xf numFmtId="0" fontId="0" fillId="12" borderId="0" xfId="0" applyFill="1" applyBorder="1"/>
    <xf numFmtId="0" fontId="3" fillId="12" borderId="0" xfId="0" applyFont="1" applyFill="1" applyBorder="1"/>
    <xf numFmtId="0" fontId="1" fillId="12" borderId="0" xfId="0" applyFont="1" applyFill="1" applyBorder="1"/>
    <xf numFmtId="0" fontId="0" fillId="5" borderId="8" xfId="0" applyFill="1" applyBorder="1" applyAlignment="1">
      <alignment horizontal="center"/>
    </xf>
    <xf numFmtId="0" fontId="7" fillId="0" borderId="0" xfId="1" applyFill="1" applyBorder="1"/>
    <xf numFmtId="0" fontId="0" fillId="0" borderId="0" xfId="0" applyFont="1" applyFill="1" applyBorder="1"/>
    <xf numFmtId="2" fontId="0" fillId="13" borderId="5" xfId="0" applyNumberFormat="1" applyFill="1" applyBorder="1" applyAlignment="1">
      <alignment horizontal="center"/>
    </xf>
    <xf numFmtId="2" fontId="0" fillId="0" borderId="14" xfId="0" applyNumberFormat="1" applyBorder="1" applyAlignment="1">
      <alignment horizontal="center"/>
    </xf>
    <xf numFmtId="2" fontId="0" fillId="10" borderId="12" xfId="0" applyNumberFormat="1" applyFill="1" applyBorder="1" applyAlignment="1">
      <alignment horizontal="center"/>
    </xf>
    <xf numFmtId="2" fontId="0" fillId="9" borderId="12" xfId="0" applyNumberFormat="1" applyFill="1" applyBorder="1" applyAlignment="1">
      <alignment horizontal="center"/>
    </xf>
    <xf numFmtId="2" fontId="0" fillId="0" borderId="15" xfId="0" applyNumberFormat="1" applyBorder="1" applyAlignment="1">
      <alignment horizontal="center"/>
    </xf>
    <xf numFmtId="0" fontId="0" fillId="5" borderId="8" xfId="0" applyFill="1" applyBorder="1" applyAlignment="1">
      <alignment horizontal="center"/>
    </xf>
    <xf numFmtId="2" fontId="0" fillId="0" borderId="8" xfId="0" applyNumberFormat="1" applyFill="1" applyBorder="1" applyAlignment="1">
      <alignment horizontal="left"/>
    </xf>
    <xf numFmtId="2" fontId="0" fillId="9" borderId="4" xfId="0" applyNumberFormat="1" applyFill="1" applyBorder="1" applyAlignment="1">
      <alignment horizontal="center"/>
    </xf>
    <xf numFmtId="2" fontId="0" fillId="13" borderId="6" xfId="0" applyNumberFormat="1" applyFill="1" applyBorder="1" applyAlignment="1">
      <alignment horizontal="center"/>
    </xf>
    <xf numFmtId="2" fontId="0" fillId="11" borderId="4" xfId="0" applyNumberFormat="1" applyFill="1" applyBorder="1" applyAlignment="1">
      <alignment horizontal="center"/>
    </xf>
    <xf numFmtId="2" fontId="0" fillId="6" borderId="6" xfId="0" applyNumberFormat="1" applyFill="1" applyBorder="1" applyAlignment="1">
      <alignment horizontal="center"/>
    </xf>
    <xf numFmtId="2" fontId="0" fillId="11" borderId="14" xfId="0" applyNumberFormat="1" applyFill="1" applyBorder="1" applyAlignment="1">
      <alignment horizontal="center"/>
    </xf>
    <xf numFmtId="2" fontId="0" fillId="11" borderId="12" xfId="0" applyNumberFormat="1" applyFill="1" applyBorder="1" applyAlignment="1">
      <alignment horizontal="center"/>
    </xf>
    <xf numFmtId="0" fontId="9" fillId="0" borderId="0" xfId="0" applyFont="1" applyAlignment="1">
      <alignment wrapText="1"/>
    </xf>
    <xf numFmtId="0" fontId="9" fillId="0" borderId="0" xfId="0" applyFont="1" applyAlignment="1">
      <alignment vertical="center"/>
    </xf>
    <xf numFmtId="0" fontId="9" fillId="0" borderId="0" xfId="0" applyFont="1" applyAlignment="1">
      <alignment horizontal="center" wrapText="1"/>
    </xf>
    <xf numFmtId="0" fontId="0" fillId="0" borderId="0" xfId="0" applyAlignment="1">
      <alignment horizontal="center"/>
    </xf>
    <xf numFmtId="0" fontId="0" fillId="0" borderId="0" xfId="0" applyAlignment="1">
      <alignment horizontal="left"/>
    </xf>
    <xf numFmtId="0" fontId="9" fillId="0" borderId="4" xfId="0" applyFont="1" applyBorder="1" applyAlignment="1">
      <alignment horizontal="center" wrapText="1"/>
    </xf>
    <xf numFmtId="0" fontId="9" fillId="0" borderId="5" xfId="0" applyFont="1" applyBorder="1" applyAlignment="1">
      <alignment horizontal="center" wrapText="1"/>
    </xf>
    <xf numFmtId="0" fontId="9" fillId="0" borderId="6" xfId="0" applyFont="1" applyBorder="1" applyAlignment="1">
      <alignment horizontal="center" wrapText="1"/>
    </xf>
    <xf numFmtId="2" fontId="0" fillId="0" borderId="14" xfId="0" applyNumberFormat="1" applyBorder="1" applyAlignment="1">
      <alignment horizontal="left"/>
    </xf>
    <xf numFmtId="0" fontId="0" fillId="0" borderId="12" xfId="0" applyBorder="1"/>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1" xfId="0" applyFill="1" applyBorder="1" applyAlignment="1">
      <alignment horizontal="center" vertical="center"/>
    </xf>
    <xf numFmtId="2" fontId="0" fillId="14" borderId="12" xfId="0" applyNumberFormat="1" applyFill="1" applyBorder="1" applyAlignment="1">
      <alignment horizontal="left"/>
    </xf>
    <xf numFmtId="2" fontId="0" fillId="14" borderId="12" xfId="0" applyNumberFormat="1" applyFill="1" applyBorder="1" applyAlignment="1">
      <alignment horizontal="center"/>
    </xf>
    <xf numFmtId="0" fontId="0" fillId="0" borderId="14" xfId="0" applyFill="1" applyBorder="1" applyAlignment="1">
      <alignment horizontal="center" vertical="center"/>
    </xf>
    <xf numFmtId="2" fontId="0" fillId="0" borderId="12" xfId="0" applyNumberFormat="1" applyBorder="1" applyAlignment="1">
      <alignment horizontal="left"/>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6" borderId="4" xfId="0" applyFill="1" applyBorder="1" applyAlignment="1">
      <alignment horizontal="center" vertical="center"/>
    </xf>
    <xf numFmtId="0" fontId="0" fillId="6" borderId="6" xfId="0" applyFill="1" applyBorder="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0" fillId="5" borderId="8"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9" fillId="0" borderId="0" xfId="0" applyFont="1" applyAlignment="1">
      <alignment horizontal="left" wrapText="1"/>
    </xf>
    <xf numFmtId="0" fontId="9" fillId="0" borderId="0" xfId="0" applyFont="1" applyAlignment="1">
      <alignment horizontal="left" vertical="center"/>
    </xf>
    <xf numFmtId="0" fontId="0" fillId="0" borderId="3" xfId="0" applyFill="1" applyBorder="1" applyAlignment="1">
      <alignment horizontal="center" vertical="center"/>
    </xf>
    <xf numFmtId="2" fontId="0" fillId="14" borderId="4" xfId="0" applyNumberFormat="1" applyFill="1" applyBorder="1" applyAlignment="1">
      <alignment horizontal="center"/>
    </xf>
    <xf numFmtId="2" fontId="0" fillId="14" borderId="5" xfId="0" applyNumberFormat="1" applyFill="1" applyBorder="1" applyAlignment="1">
      <alignment horizontal="center"/>
    </xf>
    <xf numFmtId="2" fontId="0" fillId="6" borderId="4" xfId="0" applyNumberFormat="1" applyFill="1" applyBorder="1" applyAlignment="1">
      <alignment horizontal="center" vertical="center"/>
    </xf>
    <xf numFmtId="2" fontId="0" fillId="6" borderId="6" xfId="0" applyNumberFormat="1" applyFill="1" applyBorder="1" applyAlignment="1">
      <alignment horizontal="center" vertical="center"/>
    </xf>
    <xf numFmtId="0" fontId="0" fillId="0" borderId="14" xfId="0" applyFill="1" applyBorder="1" applyAlignment="1">
      <alignment horizontal="center" vertical="center"/>
    </xf>
    <xf numFmtId="0" fontId="0" fillId="0" borderId="12" xfId="0" applyFill="1" applyBorder="1" applyAlignment="1">
      <alignment horizontal="center" vertical="center"/>
    </xf>
    <xf numFmtId="2" fontId="0" fillId="0" borderId="12" xfId="0" applyNumberFormat="1" applyFill="1" applyBorder="1" applyAlignment="1">
      <alignment horizontal="left"/>
    </xf>
    <xf numFmtId="2" fontId="0" fillId="0" borderId="1" xfId="0" applyNumberFormat="1" applyFill="1" applyBorder="1" applyAlignment="1">
      <alignment horizontal="center"/>
    </xf>
    <xf numFmtId="2" fontId="0" fillId="0" borderId="4" xfId="0" applyNumberFormat="1" applyFill="1" applyBorder="1" applyAlignment="1">
      <alignment horizontal="center"/>
    </xf>
    <xf numFmtId="2" fontId="0" fillId="0" borderId="6" xfId="0" applyNumberForma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85</xdr:row>
      <xdr:rowOff>0</xdr:rowOff>
    </xdr:from>
    <xdr:ext cx="304800" cy="306404"/>
    <xdr:sp macro="" textlink="">
      <xdr:nvSpPr>
        <xdr:cNvPr id="4" name="AutoShape 1" descr="image: ">
          <a:extLst>
            <a:ext uri="{FF2B5EF4-FFF2-40B4-BE49-F238E27FC236}">
              <a16:creationId xmlns:a16="http://schemas.microsoft.com/office/drawing/2014/main" id="{FE426963-0900-4B9F-884D-50B40B30F8C5}"/>
            </a:ext>
          </a:extLst>
        </xdr:cNvPr>
        <xdr:cNvSpPr>
          <a:spLocks noChangeAspect="1" noChangeArrowheads="1"/>
        </xdr:cNvSpPr>
      </xdr:nvSpPr>
      <xdr:spPr bwMode="auto">
        <a:xfrm>
          <a:off x="1311442" y="5454316"/>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5926</xdr:colOff>
      <xdr:row>8</xdr:row>
      <xdr:rowOff>128336</xdr:rowOff>
    </xdr:from>
    <xdr:to>
      <xdr:col>5</xdr:col>
      <xdr:colOff>197242</xdr:colOff>
      <xdr:row>21</xdr:row>
      <xdr:rowOff>250</xdr:rowOff>
    </xdr:to>
    <xdr:pic>
      <xdr:nvPicPr>
        <xdr:cNvPr id="2" name="Imagen 1">
          <a:extLst>
            <a:ext uri="{FF2B5EF4-FFF2-40B4-BE49-F238E27FC236}">
              <a16:creationId xmlns:a16="http://schemas.microsoft.com/office/drawing/2014/main" id="{C422E8DD-AC87-49C6-844E-640E58DF8412}"/>
            </a:ext>
          </a:extLst>
        </xdr:cNvPr>
        <xdr:cNvPicPr>
          <a:picLocks noChangeAspect="1"/>
        </xdr:cNvPicPr>
      </xdr:nvPicPr>
      <xdr:blipFill>
        <a:blip xmlns:r="http://schemas.openxmlformats.org/officeDocument/2006/relationships" r:embed="rId1"/>
        <a:stretch>
          <a:fillRect/>
        </a:stretch>
      </xdr:blipFill>
      <xdr:spPr>
        <a:xfrm>
          <a:off x="1317368" y="874294"/>
          <a:ext cx="4922133" cy="22702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80</xdr:row>
      <xdr:rowOff>0</xdr:rowOff>
    </xdr:from>
    <xdr:ext cx="304800" cy="306404"/>
    <xdr:sp macro="" textlink="">
      <xdr:nvSpPr>
        <xdr:cNvPr id="2" name="AutoShape 1" descr="image: ">
          <a:extLst>
            <a:ext uri="{FF2B5EF4-FFF2-40B4-BE49-F238E27FC236}">
              <a16:creationId xmlns:a16="http://schemas.microsoft.com/office/drawing/2014/main" id="{CE54E21C-5EE3-4167-8491-DFAC6413D9C3}"/>
            </a:ext>
          </a:extLst>
        </xdr:cNvPr>
        <xdr:cNvSpPr>
          <a:spLocks noChangeAspect="1" noChangeArrowheads="1"/>
        </xdr:cNvSpPr>
      </xdr:nvSpPr>
      <xdr:spPr bwMode="auto">
        <a:xfrm>
          <a:off x="1310640" y="12847320"/>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966537</xdr:colOff>
      <xdr:row>9</xdr:row>
      <xdr:rowOff>135778</xdr:rowOff>
    </xdr:from>
    <xdr:to>
      <xdr:col>5</xdr:col>
      <xdr:colOff>627429</xdr:colOff>
      <xdr:row>20</xdr:row>
      <xdr:rowOff>38648</xdr:rowOff>
    </xdr:to>
    <xdr:pic>
      <xdr:nvPicPr>
        <xdr:cNvPr id="3" name="Imagen 2">
          <a:extLst>
            <a:ext uri="{FF2B5EF4-FFF2-40B4-BE49-F238E27FC236}">
              <a16:creationId xmlns:a16="http://schemas.microsoft.com/office/drawing/2014/main" id="{38CB4B58-5895-4B66-804C-A011CBEF17C6}"/>
            </a:ext>
          </a:extLst>
        </xdr:cNvPr>
        <xdr:cNvPicPr>
          <a:picLocks noChangeAspect="1"/>
        </xdr:cNvPicPr>
      </xdr:nvPicPr>
      <xdr:blipFill>
        <a:blip xmlns:r="http://schemas.openxmlformats.org/officeDocument/2006/relationships" r:embed="rId1"/>
        <a:stretch>
          <a:fillRect/>
        </a:stretch>
      </xdr:blipFill>
      <xdr:spPr>
        <a:xfrm>
          <a:off x="1279358" y="1804157"/>
          <a:ext cx="5351057" cy="19321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67</xdr:row>
      <xdr:rowOff>0</xdr:rowOff>
    </xdr:from>
    <xdr:ext cx="304800" cy="306404"/>
    <xdr:sp macro="" textlink="">
      <xdr:nvSpPr>
        <xdr:cNvPr id="2" name="AutoShape 1" descr="image: ">
          <a:extLst>
            <a:ext uri="{FF2B5EF4-FFF2-40B4-BE49-F238E27FC236}">
              <a16:creationId xmlns:a16="http://schemas.microsoft.com/office/drawing/2014/main" id="{220080ED-13F1-43DE-969D-848A842005B3}"/>
            </a:ext>
          </a:extLst>
        </xdr:cNvPr>
        <xdr:cNvSpPr>
          <a:spLocks noChangeAspect="1" noChangeArrowheads="1"/>
        </xdr:cNvSpPr>
      </xdr:nvSpPr>
      <xdr:spPr bwMode="auto">
        <a:xfrm>
          <a:off x="1310640" y="15407640"/>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67</xdr:row>
      <xdr:rowOff>0</xdr:rowOff>
    </xdr:from>
    <xdr:ext cx="304800" cy="306404"/>
    <xdr:sp macro="" textlink="">
      <xdr:nvSpPr>
        <xdr:cNvPr id="2" name="AutoShape 1" descr="image: ">
          <a:extLst>
            <a:ext uri="{FF2B5EF4-FFF2-40B4-BE49-F238E27FC236}">
              <a16:creationId xmlns:a16="http://schemas.microsoft.com/office/drawing/2014/main" id="{48A5E022-1488-49A7-8584-59B0C2833084}"/>
            </a:ext>
          </a:extLst>
        </xdr:cNvPr>
        <xdr:cNvSpPr>
          <a:spLocks noChangeAspect="1" noChangeArrowheads="1"/>
        </xdr:cNvSpPr>
      </xdr:nvSpPr>
      <xdr:spPr bwMode="auto">
        <a:xfrm>
          <a:off x="1310640" y="12847320"/>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67</xdr:row>
      <xdr:rowOff>0</xdr:rowOff>
    </xdr:from>
    <xdr:ext cx="304800" cy="306404"/>
    <xdr:sp macro="" textlink="">
      <xdr:nvSpPr>
        <xdr:cNvPr id="2" name="AutoShape 1" descr="image: ">
          <a:extLst>
            <a:ext uri="{FF2B5EF4-FFF2-40B4-BE49-F238E27FC236}">
              <a16:creationId xmlns:a16="http://schemas.microsoft.com/office/drawing/2014/main" id="{74A39973-4A85-4B1E-96A3-773737EFC1F5}"/>
            </a:ext>
          </a:extLst>
        </xdr:cNvPr>
        <xdr:cNvSpPr>
          <a:spLocks noChangeAspect="1" noChangeArrowheads="1"/>
        </xdr:cNvSpPr>
      </xdr:nvSpPr>
      <xdr:spPr bwMode="auto">
        <a:xfrm>
          <a:off x="1310640" y="12847320"/>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66</xdr:row>
      <xdr:rowOff>0</xdr:rowOff>
    </xdr:from>
    <xdr:ext cx="304800" cy="306404"/>
    <xdr:sp macro="" textlink="">
      <xdr:nvSpPr>
        <xdr:cNvPr id="2" name="AutoShape 1" descr="image: ">
          <a:extLst>
            <a:ext uri="{FF2B5EF4-FFF2-40B4-BE49-F238E27FC236}">
              <a16:creationId xmlns:a16="http://schemas.microsoft.com/office/drawing/2014/main" id="{6E106F42-CA8D-4F62-879C-5C7CBF1EF16D}"/>
            </a:ext>
          </a:extLst>
        </xdr:cNvPr>
        <xdr:cNvSpPr>
          <a:spLocks noChangeAspect="1" noChangeArrowheads="1"/>
        </xdr:cNvSpPr>
      </xdr:nvSpPr>
      <xdr:spPr bwMode="auto">
        <a:xfrm>
          <a:off x="1379220" y="12954000"/>
          <a:ext cx="304800" cy="3064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github.com/seergiip/Project-EVALI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github.com/INS-Caparrella/projecte-dam2-25-26-edu_nami"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github.com/INS-Caparrella/projecte-dam2-25-26-jug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github.com/pierosanchez098/ProjecteAvance"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github.com/MarcBergeComella/Projecte-25-26"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7BDA-31F8-44D1-8A34-F1252F58E04A}">
  <dimension ref="A1:D81"/>
  <sheetViews>
    <sheetView tabSelected="1" topLeftCell="A61" zoomScale="145" zoomScaleNormal="145" workbookViewId="0">
      <selection activeCell="C57" sqref="C57"/>
    </sheetView>
  </sheetViews>
  <sheetFormatPr baseColWidth="10" defaultColWidth="8.89453125" defaultRowHeight="14.4" x14ac:dyDescent="0.55000000000000004"/>
  <cols>
    <col min="1" max="1" width="4.5234375" customWidth="1"/>
    <col min="2" max="2" width="14.5234375" customWidth="1"/>
    <col min="3" max="3" width="52.1015625" customWidth="1"/>
    <col min="4" max="4" width="23.20703125" customWidth="1"/>
  </cols>
  <sheetData>
    <row r="1" spans="1:4" s="22" customFormat="1" x14ac:dyDescent="0.55000000000000004">
      <c r="A1" s="20"/>
      <c r="B1" s="21" t="s">
        <v>4</v>
      </c>
    </row>
    <row r="2" spans="1:4" s="25" customFormat="1" ht="14.7" thickBot="1" x14ac:dyDescent="0.6">
      <c r="A2" s="23"/>
      <c r="B2" s="24" t="s">
        <v>13</v>
      </c>
    </row>
    <row r="3" spans="1:4" s="26" customFormat="1" x14ac:dyDescent="0.55000000000000004">
      <c r="B3" s="27"/>
    </row>
    <row r="4" spans="1:4" ht="14.7" thickBot="1" x14ac:dyDescent="0.6"/>
    <row r="5" spans="1:4" ht="14.7" thickBot="1" x14ac:dyDescent="0.6">
      <c r="C5" s="80" t="s">
        <v>67</v>
      </c>
      <c r="D5" s="81"/>
    </row>
    <row r="6" spans="1:4" ht="49.2" customHeight="1" thickBot="1" x14ac:dyDescent="0.6">
      <c r="C6" s="34" t="s">
        <v>5</v>
      </c>
      <c r="D6" s="36" t="s">
        <v>21</v>
      </c>
    </row>
    <row r="7" spans="1:4" x14ac:dyDescent="0.55000000000000004">
      <c r="B7" s="9">
        <v>1</v>
      </c>
      <c r="C7" s="37" t="s">
        <v>31</v>
      </c>
      <c r="D7" s="37" t="s">
        <v>31</v>
      </c>
    </row>
    <row r="8" spans="1:4" x14ac:dyDescent="0.55000000000000004">
      <c r="B8" s="10">
        <v>2</v>
      </c>
      <c r="C8" s="35">
        <v>1</v>
      </c>
      <c r="D8" s="7">
        <v>1</v>
      </c>
    </row>
    <row r="9" spans="1:4" x14ac:dyDescent="0.55000000000000004">
      <c r="B9" s="10">
        <v>3</v>
      </c>
      <c r="C9" s="38">
        <v>1</v>
      </c>
      <c r="D9" s="39">
        <v>1</v>
      </c>
    </row>
    <row r="10" spans="1:4" x14ac:dyDescent="0.55000000000000004">
      <c r="B10" s="10">
        <v>4</v>
      </c>
      <c r="C10" s="35">
        <v>1</v>
      </c>
      <c r="D10" s="7">
        <v>1</v>
      </c>
    </row>
    <row r="11" spans="1:4" x14ac:dyDescent="0.55000000000000004">
      <c r="B11" s="10">
        <v>5</v>
      </c>
      <c r="C11" s="38">
        <v>1</v>
      </c>
      <c r="D11" s="39">
        <v>1</v>
      </c>
    </row>
    <row r="12" spans="1:4" x14ac:dyDescent="0.55000000000000004">
      <c r="B12" s="10">
        <v>6</v>
      </c>
      <c r="C12" s="35">
        <v>1</v>
      </c>
      <c r="D12" s="7">
        <v>1</v>
      </c>
    </row>
    <row r="13" spans="1:4" x14ac:dyDescent="0.55000000000000004">
      <c r="B13" s="10">
        <v>7</v>
      </c>
      <c r="C13" s="38">
        <v>1</v>
      </c>
      <c r="D13" s="39">
        <v>1</v>
      </c>
    </row>
    <row r="14" spans="1:4" x14ac:dyDescent="0.55000000000000004">
      <c r="B14" s="10">
        <v>8</v>
      </c>
      <c r="C14" s="35">
        <v>1</v>
      </c>
      <c r="D14" s="7">
        <v>1</v>
      </c>
    </row>
    <row r="15" spans="1:4" x14ac:dyDescent="0.55000000000000004">
      <c r="B15" s="10">
        <v>9</v>
      </c>
      <c r="C15" s="38">
        <v>1</v>
      </c>
      <c r="D15" s="39">
        <v>1</v>
      </c>
    </row>
    <row r="16" spans="1:4" x14ac:dyDescent="0.55000000000000004">
      <c r="B16" s="10">
        <v>10</v>
      </c>
      <c r="C16" s="35">
        <v>1</v>
      </c>
      <c r="D16" s="7">
        <v>1</v>
      </c>
    </row>
    <row r="17" spans="2:4" x14ac:dyDescent="0.55000000000000004">
      <c r="B17" s="10">
        <v>11</v>
      </c>
      <c r="C17" s="38">
        <v>1</v>
      </c>
      <c r="D17" s="39">
        <v>1</v>
      </c>
    </row>
    <row r="18" spans="2:4" x14ac:dyDescent="0.55000000000000004">
      <c r="B18" s="10">
        <v>12</v>
      </c>
      <c r="C18" s="35">
        <v>1</v>
      </c>
      <c r="D18" s="7">
        <v>1</v>
      </c>
    </row>
    <row r="19" spans="2:4" x14ac:dyDescent="0.55000000000000004">
      <c r="B19" s="10">
        <v>13</v>
      </c>
      <c r="C19" s="38">
        <v>1</v>
      </c>
      <c r="D19" s="39">
        <v>1</v>
      </c>
    </row>
    <row r="20" spans="2:4" x14ac:dyDescent="0.55000000000000004">
      <c r="B20" s="10">
        <v>14</v>
      </c>
      <c r="C20" s="35">
        <v>1</v>
      </c>
      <c r="D20" s="7">
        <v>1</v>
      </c>
    </row>
    <row r="21" spans="2:4" x14ac:dyDescent="0.55000000000000004">
      <c r="B21" s="10">
        <v>15</v>
      </c>
      <c r="C21" s="38">
        <v>1</v>
      </c>
      <c r="D21" s="39">
        <v>1</v>
      </c>
    </row>
    <row r="22" spans="2:4" x14ac:dyDescent="0.55000000000000004">
      <c r="B22" s="10">
        <v>16</v>
      </c>
      <c r="C22" s="35">
        <v>1</v>
      </c>
      <c r="D22" s="7">
        <v>1</v>
      </c>
    </row>
    <row r="23" spans="2:4" x14ac:dyDescent="0.55000000000000004">
      <c r="B23" s="10">
        <v>17</v>
      </c>
      <c r="C23" s="38">
        <v>1</v>
      </c>
      <c r="D23" s="39">
        <v>1</v>
      </c>
    </row>
    <row r="24" spans="2:4" x14ac:dyDescent="0.55000000000000004">
      <c r="B24" s="10">
        <v>18</v>
      </c>
      <c r="C24" s="35">
        <v>1</v>
      </c>
      <c r="D24" s="7">
        <v>1</v>
      </c>
    </row>
    <row r="25" spans="2:4" x14ac:dyDescent="0.55000000000000004">
      <c r="B25" s="10">
        <v>19</v>
      </c>
      <c r="C25" s="38">
        <v>1</v>
      </c>
      <c r="D25" s="39">
        <v>1</v>
      </c>
    </row>
    <row r="26" spans="2:4" x14ac:dyDescent="0.55000000000000004">
      <c r="B26" s="10">
        <v>20</v>
      </c>
      <c r="C26" s="35">
        <v>1</v>
      </c>
      <c r="D26" s="7">
        <v>1</v>
      </c>
    </row>
    <row r="27" spans="2:4" ht="14.7" thickBot="1" x14ac:dyDescent="0.6">
      <c r="B27" s="16">
        <v>21</v>
      </c>
      <c r="C27" s="38">
        <v>1</v>
      </c>
      <c r="D27" s="39">
        <v>1</v>
      </c>
    </row>
    <row r="28" spans="2:4" x14ac:dyDescent="0.55000000000000004">
      <c r="B28" s="11">
        <v>1</v>
      </c>
      <c r="C28" s="6">
        <v>1</v>
      </c>
      <c r="D28" s="6">
        <v>1</v>
      </c>
    </row>
    <row r="29" spans="2:4" x14ac:dyDescent="0.55000000000000004">
      <c r="B29" s="11">
        <v>2</v>
      </c>
      <c r="C29" s="40">
        <v>1</v>
      </c>
      <c r="D29" s="40">
        <v>1</v>
      </c>
    </row>
    <row r="30" spans="2:4" x14ac:dyDescent="0.55000000000000004">
      <c r="B30" s="11">
        <v>3</v>
      </c>
      <c r="C30" s="7">
        <v>1</v>
      </c>
      <c r="D30" s="7">
        <v>1</v>
      </c>
    </row>
    <row r="31" spans="2:4" x14ac:dyDescent="0.55000000000000004">
      <c r="B31" s="11">
        <v>4</v>
      </c>
      <c r="C31" s="42" t="s">
        <v>31</v>
      </c>
      <c r="D31" s="42" t="s">
        <v>31</v>
      </c>
    </row>
    <row r="32" spans="2:4" x14ac:dyDescent="0.55000000000000004">
      <c r="B32" s="11">
        <v>5</v>
      </c>
      <c r="C32" s="42" t="s">
        <v>31</v>
      </c>
      <c r="D32" s="42" t="s">
        <v>31</v>
      </c>
    </row>
    <row r="33" spans="2:4" x14ac:dyDescent="0.55000000000000004">
      <c r="B33" s="11">
        <v>6</v>
      </c>
      <c r="C33" s="40">
        <v>1</v>
      </c>
      <c r="D33" s="40">
        <v>1</v>
      </c>
    </row>
    <row r="34" spans="2:4" x14ac:dyDescent="0.55000000000000004">
      <c r="B34" s="11">
        <v>7</v>
      </c>
      <c r="C34" s="42" t="s">
        <v>31</v>
      </c>
      <c r="D34" s="42" t="s">
        <v>31</v>
      </c>
    </row>
    <row r="35" spans="2:4" x14ac:dyDescent="0.55000000000000004">
      <c r="B35" s="11">
        <v>8</v>
      </c>
      <c r="C35" s="40">
        <v>1</v>
      </c>
      <c r="D35" s="40">
        <v>1</v>
      </c>
    </row>
    <row r="36" spans="2:4" ht="14.7" thickBot="1" x14ac:dyDescent="0.6">
      <c r="B36" s="11">
        <v>9</v>
      </c>
      <c r="C36" s="8">
        <v>1</v>
      </c>
      <c r="D36" s="8">
        <v>1</v>
      </c>
    </row>
    <row r="37" spans="2:4" x14ac:dyDescent="0.55000000000000004">
      <c r="B37" s="33">
        <v>1</v>
      </c>
      <c r="C37" s="41">
        <v>1</v>
      </c>
      <c r="D37" s="41">
        <v>1</v>
      </c>
    </row>
    <row r="38" spans="2:4" x14ac:dyDescent="0.55000000000000004">
      <c r="B38" s="12">
        <v>2</v>
      </c>
      <c r="C38" s="7">
        <v>1</v>
      </c>
      <c r="D38" s="7">
        <v>1</v>
      </c>
    </row>
    <row r="39" spans="2:4" x14ac:dyDescent="0.55000000000000004">
      <c r="B39" s="12">
        <v>3</v>
      </c>
      <c r="C39" s="41">
        <v>1</v>
      </c>
      <c r="D39" s="41">
        <v>1</v>
      </c>
    </row>
    <row r="40" spans="2:4" ht="14.7" thickBot="1" x14ac:dyDescent="0.6">
      <c r="B40" s="12">
        <v>4</v>
      </c>
      <c r="C40" s="7">
        <v>1</v>
      </c>
      <c r="D40" s="7">
        <v>1</v>
      </c>
    </row>
    <row r="41" spans="2:4" ht="14.7" thickBot="1" x14ac:dyDescent="0.6">
      <c r="B41" s="82" t="s">
        <v>0</v>
      </c>
      <c r="C41" s="19">
        <f>SUM(C7:C40)</f>
        <v>30</v>
      </c>
      <c r="D41" s="19">
        <f>SUM(D7:D40)</f>
        <v>30</v>
      </c>
    </row>
    <row r="42" spans="2:4" ht="14.7" thickBot="1" x14ac:dyDescent="0.6">
      <c r="B42" s="83"/>
      <c r="C42" s="19">
        <f>C41+D41</f>
        <v>60</v>
      </c>
      <c r="D42" s="15" t="s">
        <v>12</v>
      </c>
    </row>
    <row r="43" spans="2:4" ht="14.7" thickBot="1" x14ac:dyDescent="0.6">
      <c r="B43" s="17"/>
      <c r="C43" s="18"/>
      <c r="D43" s="15">
        <f>(C42*10)/(30*2)</f>
        <v>10</v>
      </c>
    </row>
    <row r="45" spans="2:4" ht="14.7" thickBot="1" x14ac:dyDescent="0.6"/>
    <row r="46" spans="2:4" s="1" customFormat="1" ht="14.7" thickBot="1" x14ac:dyDescent="0.6">
      <c r="C46" s="28" t="s">
        <v>2</v>
      </c>
      <c r="D46" s="28"/>
    </row>
    <row r="47" spans="2:4" ht="14.7" thickBot="1" x14ac:dyDescent="0.6">
      <c r="C47" s="84" t="s">
        <v>3</v>
      </c>
      <c r="D47" s="85"/>
    </row>
    <row r="48" spans="2:4" x14ac:dyDescent="0.55000000000000004">
      <c r="C48" s="4" t="s">
        <v>10</v>
      </c>
      <c r="D48" s="7">
        <v>1</v>
      </c>
    </row>
    <row r="49" spans="2:4" x14ac:dyDescent="0.55000000000000004">
      <c r="C49" s="4" t="s">
        <v>16</v>
      </c>
      <c r="D49" s="7">
        <v>1.5</v>
      </c>
    </row>
    <row r="50" spans="2:4" x14ac:dyDescent="0.55000000000000004">
      <c r="C50" s="4" t="s">
        <v>15</v>
      </c>
      <c r="D50" s="7">
        <v>1.5</v>
      </c>
    </row>
    <row r="51" spans="2:4" ht="14.7" thickBot="1" x14ac:dyDescent="0.6">
      <c r="C51" s="4" t="s">
        <v>14</v>
      </c>
      <c r="D51" s="7">
        <v>1.5</v>
      </c>
    </row>
    <row r="52" spans="2:4" ht="14.7" thickBot="1" x14ac:dyDescent="0.6">
      <c r="C52" s="84" t="s">
        <v>6</v>
      </c>
      <c r="D52" s="85"/>
    </row>
    <row r="53" spans="2:4" x14ac:dyDescent="0.55000000000000004">
      <c r="C53" s="4" t="s">
        <v>18</v>
      </c>
      <c r="D53" s="7">
        <v>1.5</v>
      </c>
    </row>
    <row r="54" spans="2:4" x14ac:dyDescent="0.55000000000000004">
      <c r="C54" s="4" t="s">
        <v>17</v>
      </c>
      <c r="D54" s="7">
        <v>1.5</v>
      </c>
    </row>
    <row r="55" spans="2:4" ht="14.7" thickBot="1" x14ac:dyDescent="0.6">
      <c r="C55" s="4" t="s">
        <v>7</v>
      </c>
      <c r="D55" s="7">
        <v>1.5</v>
      </c>
    </row>
    <row r="56" spans="2:4" ht="14.7" thickBot="1" x14ac:dyDescent="0.6">
      <c r="C56" s="86" t="s">
        <v>8</v>
      </c>
      <c r="D56" s="85"/>
    </row>
    <row r="57" spans="2:4" x14ac:dyDescent="0.55000000000000004">
      <c r="C57" s="3" t="s">
        <v>20</v>
      </c>
      <c r="D57" s="29">
        <v>1.25</v>
      </c>
    </row>
    <row r="58" spans="2:4" ht="14.7" thickBot="1" x14ac:dyDescent="0.6">
      <c r="C58" s="5" t="s">
        <v>19</v>
      </c>
      <c r="D58" s="29">
        <v>1.25</v>
      </c>
    </row>
    <row r="59" spans="2:4" ht="14.7" thickBot="1" x14ac:dyDescent="0.6">
      <c r="C59" s="15" t="s">
        <v>11</v>
      </c>
      <c r="D59" s="15">
        <f>SUM(D48:D56)</f>
        <v>10</v>
      </c>
    </row>
    <row r="60" spans="2:4" x14ac:dyDescent="0.55000000000000004">
      <c r="D60" s="13"/>
    </row>
    <row r="61" spans="2:4" ht="14.7" thickBot="1" x14ac:dyDescent="0.6">
      <c r="D61" s="2"/>
    </row>
    <row r="62" spans="2:4" ht="14.7" thickBot="1" x14ac:dyDescent="0.6">
      <c r="C62" s="80" t="s">
        <v>76</v>
      </c>
      <c r="D62" s="81"/>
    </row>
    <row r="63" spans="2:4" ht="14.7" thickBot="1" x14ac:dyDescent="0.6">
      <c r="C63" s="34" t="s">
        <v>68</v>
      </c>
      <c r="D63" s="31" t="s">
        <v>74</v>
      </c>
    </row>
    <row r="64" spans="2:4" x14ac:dyDescent="0.55000000000000004">
      <c r="B64" s="72">
        <v>1</v>
      </c>
      <c r="C64" s="70" t="s">
        <v>69</v>
      </c>
      <c r="D64" s="29">
        <v>0.25</v>
      </c>
    </row>
    <row r="65" spans="2:4" x14ac:dyDescent="0.55000000000000004">
      <c r="B65" s="73">
        <v>2</v>
      </c>
      <c r="C65" s="76" t="s">
        <v>70</v>
      </c>
      <c r="D65" s="77">
        <v>0.75</v>
      </c>
    </row>
    <row r="66" spans="2:4" x14ac:dyDescent="0.55000000000000004">
      <c r="B66" s="73">
        <v>3</v>
      </c>
      <c r="C66" s="71" t="s">
        <v>71</v>
      </c>
      <c r="D66" s="29">
        <v>1</v>
      </c>
    </row>
    <row r="67" spans="2:4" ht="14.7" thickBot="1" x14ac:dyDescent="0.6">
      <c r="B67" s="74">
        <v>4</v>
      </c>
      <c r="C67" s="76" t="s">
        <v>72</v>
      </c>
      <c r="D67" s="77">
        <v>1</v>
      </c>
    </row>
    <row r="68" spans="2:4" ht="14.7" thickBot="1" x14ac:dyDescent="0.6">
      <c r="B68" s="78"/>
      <c r="C68" s="75" t="s">
        <v>73</v>
      </c>
      <c r="D68" s="31" t="s">
        <v>74</v>
      </c>
    </row>
    <row r="69" spans="2:4" x14ac:dyDescent="0.55000000000000004">
      <c r="B69" s="72">
        <v>1</v>
      </c>
      <c r="C69" s="76" t="s">
        <v>75</v>
      </c>
      <c r="D69" s="92">
        <v>0.5</v>
      </c>
    </row>
    <row r="70" spans="2:4" x14ac:dyDescent="0.55000000000000004">
      <c r="B70" s="73">
        <v>2</v>
      </c>
      <c r="C70" s="79" t="s">
        <v>77</v>
      </c>
      <c r="D70" s="7">
        <v>0.5</v>
      </c>
    </row>
    <row r="71" spans="2:4" x14ac:dyDescent="0.55000000000000004">
      <c r="B71" s="73">
        <v>4</v>
      </c>
      <c r="C71" s="76" t="s">
        <v>78</v>
      </c>
      <c r="D71" s="93">
        <v>1</v>
      </c>
    </row>
    <row r="72" spans="2:4" ht="14.7" thickBot="1" x14ac:dyDescent="0.6">
      <c r="B72" s="74">
        <v>5</v>
      </c>
      <c r="C72" s="79" t="s">
        <v>79</v>
      </c>
      <c r="D72" s="8">
        <v>1.5</v>
      </c>
    </row>
    <row r="73" spans="2:4" ht="14.7" thickBot="1" x14ac:dyDescent="0.6">
      <c r="B73" s="91"/>
      <c r="C73" s="75" t="s">
        <v>80</v>
      </c>
      <c r="D73" s="31" t="s">
        <v>74</v>
      </c>
    </row>
    <row r="74" spans="2:4" ht="14.7" thickBot="1" x14ac:dyDescent="0.6">
      <c r="B74" s="72">
        <v>1</v>
      </c>
      <c r="C74" s="98" t="s">
        <v>85</v>
      </c>
      <c r="D74" s="99">
        <v>1.5</v>
      </c>
    </row>
    <row r="75" spans="2:4" ht="14.7" thickBot="1" x14ac:dyDescent="0.6">
      <c r="B75" s="91"/>
      <c r="C75" s="75" t="s">
        <v>81</v>
      </c>
      <c r="D75" s="31" t="s">
        <v>74</v>
      </c>
    </row>
    <row r="76" spans="2:4" x14ac:dyDescent="0.55000000000000004">
      <c r="B76" s="72">
        <v>1</v>
      </c>
      <c r="C76" s="98" t="s">
        <v>82</v>
      </c>
      <c r="D76" s="100">
        <v>0.5</v>
      </c>
    </row>
    <row r="77" spans="2:4" x14ac:dyDescent="0.55000000000000004">
      <c r="B77" s="73">
        <v>2</v>
      </c>
      <c r="C77" s="76" t="s">
        <v>83</v>
      </c>
      <c r="D77" s="77">
        <v>1</v>
      </c>
    </row>
    <row r="78" spans="2:4" ht="14.7" thickBot="1" x14ac:dyDescent="0.6">
      <c r="B78" s="73">
        <v>3</v>
      </c>
      <c r="C78" s="98" t="s">
        <v>84</v>
      </c>
      <c r="D78" s="101">
        <v>0.5</v>
      </c>
    </row>
    <row r="79" spans="2:4" ht="14.7" thickBot="1" x14ac:dyDescent="0.6">
      <c r="B79" s="96"/>
      <c r="C79" s="94" t="s">
        <v>0</v>
      </c>
      <c r="D79" s="19">
        <f>SUM(D64:D78)</f>
        <v>10</v>
      </c>
    </row>
    <row r="80" spans="2:4" ht="14.7" thickBot="1" x14ac:dyDescent="0.6">
      <c r="B80" s="97"/>
      <c r="C80" s="95"/>
      <c r="D80" s="15" t="s">
        <v>12</v>
      </c>
    </row>
    <row r="81" spans="3:3" x14ac:dyDescent="0.55000000000000004">
      <c r="C81" s="18"/>
    </row>
  </sheetData>
  <mergeCells count="8">
    <mergeCell ref="C62:D62"/>
    <mergeCell ref="B79:B80"/>
    <mergeCell ref="C5:D5"/>
    <mergeCell ref="B41:B42"/>
    <mergeCell ref="C47:D47"/>
    <mergeCell ref="C52:D52"/>
    <mergeCell ref="C56:D56"/>
    <mergeCell ref="C79:C8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6"/>
  <sheetViews>
    <sheetView topLeftCell="A72" zoomScale="175" zoomScaleNormal="175" workbookViewId="0">
      <selection activeCell="G83" sqref="G83"/>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 min="5" max="5" width="2.5234375" customWidth="1"/>
  </cols>
  <sheetData>
    <row r="1" spans="1:3" s="22" customFormat="1" x14ac:dyDescent="0.55000000000000004">
      <c r="A1" s="20"/>
      <c r="B1" s="21" t="s">
        <v>4</v>
      </c>
    </row>
    <row r="2" spans="1:3" s="25" customFormat="1" ht="14.7" thickBot="1" x14ac:dyDescent="0.6">
      <c r="A2" s="23"/>
      <c r="B2" s="24" t="s">
        <v>13</v>
      </c>
    </row>
    <row r="3" spans="1:3" s="26" customFormat="1" x14ac:dyDescent="0.55000000000000004">
      <c r="B3" s="27"/>
    </row>
    <row r="4" spans="1:3" s="43" customFormat="1" x14ac:dyDescent="0.55000000000000004">
      <c r="B4" s="44"/>
      <c r="C4" s="45" t="s">
        <v>26</v>
      </c>
    </row>
    <row r="5" spans="1:3" s="27" customFormat="1" x14ac:dyDescent="0.55000000000000004"/>
    <row r="6" spans="1:3" s="27" customFormat="1" x14ac:dyDescent="0.55000000000000004">
      <c r="C6" s="47" t="s">
        <v>29</v>
      </c>
    </row>
    <row r="7" spans="1:3" s="26" customFormat="1" x14ac:dyDescent="0.55000000000000004">
      <c r="B7" s="27"/>
    </row>
    <row r="8" spans="1:3" s="26" customFormat="1" x14ac:dyDescent="0.55000000000000004">
      <c r="B8" s="27"/>
      <c r="C8" s="26" t="s">
        <v>22</v>
      </c>
    </row>
    <row r="9" spans="1:3" s="26" customFormat="1" x14ac:dyDescent="0.55000000000000004">
      <c r="B9" s="27"/>
    </row>
    <row r="10" spans="1:3" s="26" customFormat="1" x14ac:dyDescent="0.55000000000000004">
      <c r="B10" s="27"/>
    </row>
    <row r="11" spans="1:3" s="26" customFormat="1" x14ac:dyDescent="0.55000000000000004">
      <c r="B11" s="27"/>
    </row>
    <row r="12" spans="1:3" s="26" customFormat="1" x14ac:dyDescent="0.55000000000000004">
      <c r="B12" s="27"/>
    </row>
    <row r="13" spans="1:3" s="26" customFormat="1" x14ac:dyDescent="0.55000000000000004">
      <c r="B13" s="27"/>
    </row>
    <row r="14" spans="1:3" s="26" customFormat="1" x14ac:dyDescent="0.55000000000000004">
      <c r="B14" s="27"/>
    </row>
    <row r="15" spans="1:3" s="26" customFormat="1" x14ac:dyDescent="0.55000000000000004">
      <c r="B15" s="27"/>
    </row>
    <row r="16" spans="1:3" s="26" customFormat="1" x14ac:dyDescent="0.55000000000000004">
      <c r="B16" s="27"/>
    </row>
    <row r="17" spans="2:4" s="26" customFormat="1" x14ac:dyDescent="0.55000000000000004">
      <c r="B17" s="27"/>
    </row>
    <row r="18" spans="2:4" s="26" customFormat="1" x14ac:dyDescent="0.55000000000000004">
      <c r="B18" s="27"/>
    </row>
    <row r="19" spans="2:4" s="26" customFormat="1" x14ac:dyDescent="0.55000000000000004">
      <c r="B19" s="27"/>
    </row>
    <row r="20" spans="2:4" s="26" customFormat="1" x14ac:dyDescent="0.55000000000000004">
      <c r="B20" s="27"/>
    </row>
    <row r="21" spans="2:4" s="26" customFormat="1" x14ac:dyDescent="0.55000000000000004">
      <c r="B21" s="27"/>
    </row>
    <row r="22" spans="2:4" s="26" customFormat="1" x14ac:dyDescent="0.55000000000000004">
      <c r="B22" s="27"/>
    </row>
    <row r="23" spans="2:4" s="26" customFormat="1" x14ac:dyDescent="0.55000000000000004">
      <c r="B23" s="27"/>
      <c r="C23" s="26" t="s">
        <v>23</v>
      </c>
    </row>
    <row r="24" spans="2:4" s="26" customFormat="1" x14ac:dyDescent="0.55000000000000004">
      <c r="B24" s="27"/>
      <c r="C24" s="26" t="s">
        <v>24</v>
      </c>
    </row>
    <row r="25" spans="2:4" s="26" customFormat="1" x14ac:dyDescent="0.55000000000000004">
      <c r="B25" s="27"/>
      <c r="C25" s="26" t="s">
        <v>25</v>
      </c>
    </row>
    <row r="26" spans="2:4" ht="14.7" thickBot="1" x14ac:dyDescent="0.6"/>
    <row r="27" spans="2:4" ht="14.7" thickBot="1" x14ac:dyDescent="0.6">
      <c r="C27" s="87" t="s">
        <v>1</v>
      </c>
      <c r="D27" s="88"/>
    </row>
    <row r="28" spans="2:4" ht="49.2" customHeight="1" thickBot="1" x14ac:dyDescent="0.6">
      <c r="C28" s="34" t="s">
        <v>5</v>
      </c>
      <c r="D28" s="36" t="s">
        <v>21</v>
      </c>
    </row>
    <row r="29" spans="2:4" x14ac:dyDescent="0.55000000000000004">
      <c r="B29" s="9">
        <v>1</v>
      </c>
      <c r="C29" s="37" t="s">
        <v>31</v>
      </c>
      <c r="D29" s="37" t="s">
        <v>31</v>
      </c>
    </row>
    <row r="30" spans="2:4" x14ac:dyDescent="0.55000000000000004">
      <c r="B30" s="10">
        <v>2</v>
      </c>
      <c r="C30" s="35">
        <v>0.67</v>
      </c>
      <c r="D30" s="7">
        <f>4/6</f>
        <v>0.66666666666666663</v>
      </c>
    </row>
    <row r="31" spans="2:4" x14ac:dyDescent="0.55000000000000004">
      <c r="B31" s="10">
        <v>3</v>
      </c>
      <c r="C31" s="38">
        <v>1</v>
      </c>
      <c r="D31" s="39">
        <v>1</v>
      </c>
    </row>
    <row r="32" spans="2:4" x14ac:dyDescent="0.55000000000000004">
      <c r="B32" s="10">
        <v>4</v>
      </c>
      <c r="C32" s="35">
        <v>1</v>
      </c>
      <c r="D32" s="7">
        <v>1</v>
      </c>
    </row>
    <row r="33" spans="2:4" x14ac:dyDescent="0.55000000000000004">
      <c r="B33" s="10">
        <v>5</v>
      </c>
      <c r="C33" s="38">
        <v>1</v>
      </c>
      <c r="D33" s="39">
        <v>1</v>
      </c>
    </row>
    <row r="34" spans="2:4" x14ac:dyDescent="0.55000000000000004">
      <c r="B34" s="10">
        <v>6</v>
      </c>
      <c r="C34" s="35">
        <v>1</v>
      </c>
      <c r="D34" s="7">
        <v>0.75</v>
      </c>
    </row>
    <row r="35" spans="2:4" x14ac:dyDescent="0.55000000000000004">
      <c r="B35" s="10">
        <v>7</v>
      </c>
      <c r="C35" s="38">
        <v>1</v>
      </c>
      <c r="D35" s="39">
        <v>1</v>
      </c>
    </row>
    <row r="36" spans="2:4" x14ac:dyDescent="0.55000000000000004">
      <c r="B36" s="10">
        <v>8</v>
      </c>
      <c r="C36" s="35">
        <v>1</v>
      </c>
      <c r="D36" s="7">
        <v>1</v>
      </c>
    </row>
    <row r="37" spans="2:4" x14ac:dyDescent="0.55000000000000004">
      <c r="B37" s="10">
        <v>9</v>
      </c>
      <c r="C37" s="38">
        <v>1</v>
      </c>
      <c r="D37" s="39">
        <v>1</v>
      </c>
    </row>
    <row r="38" spans="2:4" x14ac:dyDescent="0.55000000000000004">
      <c r="B38" s="10">
        <v>10</v>
      </c>
      <c r="C38" s="35">
        <v>1</v>
      </c>
      <c r="D38" s="7">
        <v>1</v>
      </c>
    </row>
    <row r="39" spans="2:4" x14ac:dyDescent="0.55000000000000004">
      <c r="B39" s="10">
        <v>11</v>
      </c>
      <c r="C39" s="38">
        <v>1</v>
      </c>
      <c r="D39" s="39">
        <v>1</v>
      </c>
    </row>
    <row r="40" spans="2:4" x14ac:dyDescent="0.55000000000000004">
      <c r="B40" s="10">
        <v>12</v>
      </c>
      <c r="C40" s="35">
        <v>0.75</v>
      </c>
      <c r="D40" s="7">
        <v>0.75</v>
      </c>
    </row>
    <row r="41" spans="2:4" x14ac:dyDescent="0.55000000000000004">
      <c r="B41" s="10">
        <v>13</v>
      </c>
      <c r="C41" s="38">
        <v>1</v>
      </c>
      <c r="D41" s="39">
        <v>1</v>
      </c>
    </row>
    <row r="42" spans="2:4" x14ac:dyDescent="0.55000000000000004">
      <c r="B42" s="10">
        <v>14</v>
      </c>
      <c r="C42" s="35">
        <v>1</v>
      </c>
      <c r="D42" s="7">
        <v>1</v>
      </c>
    </row>
    <row r="43" spans="2:4" x14ac:dyDescent="0.55000000000000004">
      <c r="B43" s="10">
        <v>15</v>
      </c>
      <c r="C43" s="38">
        <v>1</v>
      </c>
      <c r="D43" s="39">
        <v>1</v>
      </c>
    </row>
    <row r="44" spans="2:4" x14ac:dyDescent="0.55000000000000004">
      <c r="B44" s="10">
        <v>16</v>
      </c>
      <c r="C44" s="35">
        <v>1</v>
      </c>
      <c r="D44" s="7">
        <v>1</v>
      </c>
    </row>
    <row r="45" spans="2:4" x14ac:dyDescent="0.55000000000000004">
      <c r="B45" s="10">
        <v>17</v>
      </c>
      <c r="C45" s="38">
        <v>1</v>
      </c>
      <c r="D45" s="39">
        <v>1</v>
      </c>
    </row>
    <row r="46" spans="2:4" x14ac:dyDescent="0.55000000000000004">
      <c r="B46" s="10">
        <v>18</v>
      </c>
      <c r="C46" s="35">
        <v>0</v>
      </c>
      <c r="D46" s="7">
        <v>0</v>
      </c>
    </row>
    <row r="47" spans="2:4" x14ac:dyDescent="0.55000000000000004">
      <c r="B47" s="10">
        <v>19</v>
      </c>
      <c r="C47" s="38">
        <v>0</v>
      </c>
      <c r="D47" s="39">
        <v>0</v>
      </c>
    </row>
    <row r="48" spans="2:4" x14ac:dyDescent="0.55000000000000004">
      <c r="B48" s="10">
        <v>20</v>
      </c>
      <c r="C48" s="35">
        <v>0.6</v>
      </c>
      <c r="D48" s="7">
        <v>0.6</v>
      </c>
    </row>
    <row r="49" spans="2:4" ht="14.7" thickBot="1" x14ac:dyDescent="0.6">
      <c r="B49" s="16">
        <v>21</v>
      </c>
      <c r="C49" s="38">
        <v>1</v>
      </c>
      <c r="D49" s="39">
        <v>1</v>
      </c>
    </row>
    <row r="50" spans="2:4" x14ac:dyDescent="0.55000000000000004">
      <c r="B50" s="11">
        <v>1</v>
      </c>
      <c r="C50" s="6">
        <v>0.25</v>
      </c>
      <c r="D50" s="6">
        <v>0.25</v>
      </c>
    </row>
    <row r="51" spans="2:4" x14ac:dyDescent="0.55000000000000004">
      <c r="B51" s="11">
        <v>2</v>
      </c>
      <c r="C51" s="40">
        <v>1</v>
      </c>
      <c r="D51" s="40">
        <v>1</v>
      </c>
    </row>
    <row r="52" spans="2:4" x14ac:dyDescent="0.55000000000000004">
      <c r="B52" s="11">
        <v>3</v>
      </c>
      <c r="C52" s="7">
        <v>1</v>
      </c>
      <c r="D52" s="7">
        <v>1</v>
      </c>
    </row>
    <row r="53" spans="2:4" x14ac:dyDescent="0.55000000000000004">
      <c r="B53" s="11">
        <v>4</v>
      </c>
      <c r="C53" s="42" t="s">
        <v>31</v>
      </c>
      <c r="D53" s="42" t="s">
        <v>31</v>
      </c>
    </row>
    <row r="54" spans="2:4" x14ac:dyDescent="0.55000000000000004">
      <c r="B54" s="11">
        <v>5</v>
      </c>
      <c r="C54" s="42" t="s">
        <v>31</v>
      </c>
      <c r="D54" s="42" t="s">
        <v>31</v>
      </c>
    </row>
    <row r="55" spans="2:4" x14ac:dyDescent="0.55000000000000004">
      <c r="B55" s="11">
        <v>6</v>
      </c>
      <c r="C55" s="40">
        <v>0</v>
      </c>
      <c r="D55" s="40">
        <v>0</v>
      </c>
    </row>
    <row r="56" spans="2:4" x14ac:dyDescent="0.55000000000000004">
      <c r="B56" s="11">
        <v>7</v>
      </c>
      <c r="C56" s="42" t="s">
        <v>31</v>
      </c>
      <c r="D56" s="42" t="s">
        <v>31</v>
      </c>
    </row>
    <row r="57" spans="2:4" x14ac:dyDescent="0.55000000000000004">
      <c r="B57" s="11">
        <v>8</v>
      </c>
      <c r="C57" s="40">
        <v>0</v>
      </c>
      <c r="D57" s="40">
        <v>0</v>
      </c>
    </row>
    <row r="58" spans="2:4" ht="14.7" thickBot="1" x14ac:dyDescent="0.6">
      <c r="B58" s="11">
        <v>9</v>
      </c>
      <c r="C58" s="8">
        <v>1</v>
      </c>
      <c r="D58" s="8">
        <v>1</v>
      </c>
    </row>
    <row r="59" spans="2:4" x14ac:dyDescent="0.55000000000000004">
      <c r="B59" s="14">
        <v>1</v>
      </c>
      <c r="C59" s="41">
        <v>1</v>
      </c>
      <c r="D59" s="41">
        <v>1</v>
      </c>
    </row>
    <row r="60" spans="2:4" x14ac:dyDescent="0.55000000000000004">
      <c r="B60" s="12">
        <v>2</v>
      </c>
      <c r="C60" s="7">
        <v>0</v>
      </c>
      <c r="D60" s="7">
        <v>0</v>
      </c>
    </row>
    <row r="61" spans="2:4" x14ac:dyDescent="0.55000000000000004">
      <c r="B61" s="12">
        <v>3</v>
      </c>
      <c r="C61" s="41">
        <v>0.25</v>
      </c>
      <c r="D61" s="41">
        <v>0.25</v>
      </c>
    </row>
    <row r="62" spans="2:4" ht="14.7" thickBot="1" x14ac:dyDescent="0.6">
      <c r="B62" s="12">
        <v>4</v>
      </c>
      <c r="C62" s="7">
        <v>0</v>
      </c>
      <c r="D62" s="7">
        <v>0</v>
      </c>
    </row>
    <row r="63" spans="2:4" ht="14.7" thickBot="1" x14ac:dyDescent="0.6">
      <c r="B63" s="82" t="s">
        <v>0</v>
      </c>
      <c r="C63" s="19">
        <f>SUM(C29:C62)</f>
        <v>21.52</v>
      </c>
      <c r="D63" s="19">
        <f>SUM(D29:D62)</f>
        <v>21.266666666666666</v>
      </c>
    </row>
    <row r="64" spans="2:4" ht="14.7" thickBot="1" x14ac:dyDescent="0.6">
      <c r="B64" s="83"/>
      <c r="C64" s="19">
        <f>C63+D63</f>
        <v>42.786666666666662</v>
      </c>
      <c r="D64" s="15" t="s">
        <v>12</v>
      </c>
    </row>
    <row r="65" spans="2:13" ht="14.7" thickBot="1" x14ac:dyDescent="0.6">
      <c r="B65" s="17"/>
      <c r="C65" s="18"/>
      <c r="D65" s="15">
        <f>(C64*10)/(30*2)</f>
        <v>7.1311111111111103</v>
      </c>
    </row>
    <row r="67" spans="2:13" ht="14.7" thickBot="1" x14ac:dyDescent="0.6"/>
    <row r="68" spans="2:13" s="1" customFormat="1" ht="14.7" thickBot="1" x14ac:dyDescent="0.6">
      <c r="C68" s="28" t="s">
        <v>2</v>
      </c>
      <c r="D68" s="28"/>
    </row>
    <row r="69" spans="2:13" ht="14.7" thickBot="1" x14ac:dyDescent="0.6">
      <c r="C69" s="84" t="s">
        <v>3</v>
      </c>
      <c r="D69" s="85"/>
      <c r="F69" s="66"/>
      <c r="G69" s="66"/>
      <c r="H69" s="66"/>
      <c r="I69" s="66"/>
      <c r="J69" s="66"/>
      <c r="K69" s="66"/>
      <c r="L69" s="66"/>
      <c r="M69" s="66"/>
    </row>
    <row r="70" spans="2:13" ht="25.5" customHeight="1" x14ac:dyDescent="0.55000000000000004">
      <c r="C70" s="4" t="s">
        <v>10</v>
      </c>
      <c r="D70" s="67">
        <v>1</v>
      </c>
      <c r="F70" s="89" t="s">
        <v>60</v>
      </c>
      <c r="G70" s="89"/>
      <c r="H70" s="89"/>
      <c r="I70" s="89"/>
      <c r="J70" s="89"/>
      <c r="K70" s="89"/>
      <c r="L70" s="89"/>
      <c r="M70" s="89"/>
    </row>
    <row r="71" spans="2:13" x14ac:dyDescent="0.55000000000000004">
      <c r="C71" s="4" t="s">
        <v>16</v>
      </c>
      <c r="D71" s="68">
        <v>0</v>
      </c>
      <c r="F71" s="89" t="s">
        <v>61</v>
      </c>
      <c r="G71" s="89"/>
      <c r="H71" s="89"/>
      <c r="I71" s="89"/>
      <c r="J71" s="89"/>
      <c r="K71" s="89"/>
      <c r="L71" s="89"/>
      <c r="M71" s="89"/>
    </row>
    <row r="72" spans="2:13" x14ac:dyDescent="0.55000000000000004">
      <c r="C72" s="4" t="s">
        <v>15</v>
      </c>
      <c r="D72" s="68">
        <v>0.5</v>
      </c>
      <c r="F72" s="90" t="s">
        <v>62</v>
      </c>
      <c r="G72" s="90"/>
      <c r="H72" s="90"/>
      <c r="I72" s="90"/>
      <c r="J72" s="90"/>
      <c r="K72" s="90"/>
      <c r="L72" s="90"/>
      <c r="M72" s="90"/>
    </row>
    <row r="73" spans="2:13" ht="14.7" thickBot="1" x14ac:dyDescent="0.6">
      <c r="C73" s="4" t="s">
        <v>14</v>
      </c>
      <c r="D73" s="69">
        <v>0</v>
      </c>
      <c r="F73" s="89" t="s">
        <v>61</v>
      </c>
      <c r="G73" s="89"/>
      <c r="H73" s="89"/>
      <c r="I73" s="89"/>
      <c r="J73" s="89"/>
      <c r="K73" s="89"/>
      <c r="L73" s="89"/>
      <c r="M73" s="89"/>
    </row>
    <row r="74" spans="2:13" ht="14.7" thickBot="1" x14ac:dyDescent="0.6">
      <c r="C74" s="84" t="s">
        <v>6</v>
      </c>
      <c r="D74" s="85"/>
      <c r="F74" s="66"/>
      <c r="G74" s="66"/>
      <c r="H74" s="66"/>
      <c r="I74" s="66"/>
      <c r="J74" s="66"/>
      <c r="K74" s="66"/>
      <c r="L74" s="66"/>
      <c r="M74" s="66"/>
    </row>
    <row r="75" spans="2:13" x14ac:dyDescent="0.55000000000000004">
      <c r="C75" s="4" t="s">
        <v>18</v>
      </c>
      <c r="D75" s="67">
        <v>1</v>
      </c>
      <c r="F75" s="63" t="s">
        <v>63</v>
      </c>
    </row>
    <row r="76" spans="2:13" x14ac:dyDescent="0.55000000000000004">
      <c r="C76" s="4" t="s">
        <v>17</v>
      </c>
      <c r="D76" s="68">
        <v>1</v>
      </c>
      <c r="F76" s="63" t="s">
        <v>64</v>
      </c>
    </row>
    <row r="77" spans="2:13" ht="14.7" thickBot="1" x14ac:dyDescent="0.6">
      <c r="C77" s="4" t="s">
        <v>7</v>
      </c>
      <c r="D77" s="69">
        <v>0.5</v>
      </c>
      <c r="F77" s="63" t="s">
        <v>65</v>
      </c>
    </row>
    <row r="78" spans="2:13" ht="14.7" thickBot="1" x14ac:dyDescent="0.6">
      <c r="C78" s="86" t="s">
        <v>8</v>
      </c>
      <c r="D78" s="85"/>
    </row>
    <row r="79" spans="2:13" x14ac:dyDescent="0.55000000000000004">
      <c r="C79" s="3" t="s">
        <v>20</v>
      </c>
      <c r="D79" s="67">
        <v>0.5</v>
      </c>
      <c r="F79" s="63" t="s">
        <v>66</v>
      </c>
    </row>
    <row r="80" spans="2:13" ht="14.7" thickBot="1" x14ac:dyDescent="0.6">
      <c r="C80" s="5" t="s">
        <v>19</v>
      </c>
      <c r="D80" s="69">
        <v>0.5</v>
      </c>
      <c r="F80" s="63" t="s">
        <v>66</v>
      </c>
    </row>
    <row r="81" spans="3:4" ht="14.7" thickBot="1" x14ac:dyDescent="0.6">
      <c r="C81" s="15" t="s">
        <v>11</v>
      </c>
      <c r="D81" s="15">
        <f>SUM(D70:D80)</f>
        <v>5</v>
      </c>
    </row>
    <row r="82" spans="3:4" x14ac:dyDescent="0.55000000000000004">
      <c r="D82" s="13"/>
    </row>
    <row r="83" spans="3:4" ht="14.7" thickBot="1" x14ac:dyDescent="0.6">
      <c r="D83" s="2"/>
    </row>
    <row r="84" spans="3:4" ht="14.7" thickBot="1" x14ac:dyDescent="0.6">
      <c r="C84" s="15" t="s">
        <v>9</v>
      </c>
      <c r="D84" s="15">
        <f>(D65*0.7)+(D81*0.3)</f>
        <v>6.4917777777777772</v>
      </c>
    </row>
    <row r="85" spans="3:4" x14ac:dyDescent="0.55000000000000004">
      <c r="D85" s="2"/>
    </row>
    <row r="86" spans="3:4" x14ac:dyDescent="0.55000000000000004">
      <c r="D86" s="2"/>
    </row>
  </sheetData>
  <mergeCells count="9">
    <mergeCell ref="C78:D78"/>
    <mergeCell ref="B63:B64"/>
    <mergeCell ref="C74:D74"/>
    <mergeCell ref="C69:D69"/>
    <mergeCell ref="C27:D27"/>
    <mergeCell ref="F70:M70"/>
    <mergeCell ref="F71:M71"/>
    <mergeCell ref="F72:M72"/>
    <mergeCell ref="F73:M73"/>
  </mergeCells>
  <hyperlinks>
    <hyperlink ref="C6" r:id="rId1" xr:uid="{374CE891-EF87-466C-BD41-00435FD9514E}"/>
  </hyperlinks>
  <pageMargins left="0.70866141732283472" right="0.70866141732283472" top="0.74803149606299213" bottom="0.74803149606299213" header="0.31496062992125984" footer="0.31496062992125984"/>
  <pageSetup paperSize="9" scale="56"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0679-6380-492F-8D9F-27D1ED4BAC05}">
  <sheetPr>
    <pageSetUpPr fitToPage="1"/>
  </sheetPr>
  <dimension ref="A1:F81"/>
  <sheetViews>
    <sheetView topLeftCell="A61" zoomScale="130" zoomScaleNormal="130" workbookViewId="0">
      <selection activeCell="F72" sqref="F72"/>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 min="5" max="5" width="2.41796875" customWidth="1"/>
  </cols>
  <sheetData>
    <row r="1" spans="1:3" s="22" customFormat="1" x14ac:dyDescent="0.55000000000000004">
      <c r="A1" s="20"/>
      <c r="B1" s="21" t="s">
        <v>4</v>
      </c>
    </row>
    <row r="2" spans="1:3" s="25" customFormat="1" ht="14.7" thickBot="1" x14ac:dyDescent="0.6">
      <c r="A2" s="23"/>
      <c r="B2" s="24" t="s">
        <v>13</v>
      </c>
    </row>
    <row r="3" spans="1:3" s="26" customFormat="1" x14ac:dyDescent="0.55000000000000004">
      <c r="B3" s="27"/>
    </row>
    <row r="4" spans="1:3" s="43" customFormat="1" x14ac:dyDescent="0.55000000000000004">
      <c r="B4" s="44"/>
      <c r="C4" s="45" t="s">
        <v>28</v>
      </c>
    </row>
    <row r="5" spans="1:3" s="26" customFormat="1" x14ac:dyDescent="0.55000000000000004"/>
    <row r="6" spans="1:3" s="26" customFormat="1" x14ac:dyDescent="0.55000000000000004">
      <c r="B6" s="27"/>
      <c r="C6" s="47" t="s">
        <v>27</v>
      </c>
    </row>
    <row r="7" spans="1:3" s="26" customFormat="1" x14ac:dyDescent="0.55000000000000004">
      <c r="B7" s="27"/>
      <c r="C7" s="47"/>
    </row>
    <row r="8" spans="1:3" s="26" customFormat="1" x14ac:dyDescent="0.55000000000000004">
      <c r="B8" s="27"/>
      <c r="C8" s="48" t="s">
        <v>30</v>
      </c>
    </row>
    <row r="9" spans="1:3" s="26" customFormat="1" x14ac:dyDescent="0.55000000000000004">
      <c r="B9" s="27"/>
      <c r="C9" s="48" t="s">
        <v>32</v>
      </c>
    </row>
    <row r="10" spans="1:3" s="26" customFormat="1" x14ac:dyDescent="0.55000000000000004">
      <c r="B10" s="27"/>
      <c r="C10" s="48"/>
    </row>
    <row r="11" spans="1:3" s="26" customFormat="1" x14ac:dyDescent="0.55000000000000004">
      <c r="B11" s="27"/>
      <c r="C11" s="48"/>
    </row>
    <row r="12" spans="1:3" s="26" customFormat="1" x14ac:dyDescent="0.55000000000000004">
      <c r="B12" s="27"/>
      <c r="C12" s="48"/>
    </row>
    <row r="13" spans="1:3" s="26" customFormat="1" x14ac:dyDescent="0.55000000000000004">
      <c r="B13" s="27"/>
      <c r="C13" s="48"/>
    </row>
    <row r="14" spans="1:3" s="26" customFormat="1" x14ac:dyDescent="0.55000000000000004">
      <c r="B14" s="27"/>
      <c r="C14" s="48"/>
    </row>
    <row r="15" spans="1:3" s="26" customFormat="1" x14ac:dyDescent="0.55000000000000004">
      <c r="B15" s="27"/>
      <c r="C15" s="48"/>
    </row>
    <row r="16" spans="1:3" s="26" customFormat="1" x14ac:dyDescent="0.55000000000000004">
      <c r="B16" s="27"/>
      <c r="C16" s="48"/>
    </row>
    <row r="17" spans="2:4" s="26" customFormat="1" x14ac:dyDescent="0.55000000000000004">
      <c r="B17" s="27"/>
      <c r="C17" s="48"/>
    </row>
    <row r="18" spans="2:4" s="26" customFormat="1" x14ac:dyDescent="0.55000000000000004">
      <c r="B18" s="27"/>
      <c r="C18" s="48"/>
    </row>
    <row r="19" spans="2:4" s="26" customFormat="1" x14ac:dyDescent="0.55000000000000004">
      <c r="B19" s="27"/>
      <c r="C19" s="48"/>
    </row>
    <row r="20" spans="2:4" s="26" customFormat="1" x14ac:dyDescent="0.55000000000000004">
      <c r="B20" s="27"/>
      <c r="C20" s="48"/>
    </row>
    <row r="21" spans="2:4" ht="14.7" thickBot="1" x14ac:dyDescent="0.6"/>
    <row r="22" spans="2:4" ht="14.7" thickBot="1" x14ac:dyDescent="0.6">
      <c r="C22" s="87" t="s">
        <v>1</v>
      </c>
      <c r="D22" s="88"/>
    </row>
    <row r="23" spans="2:4" ht="49.2" customHeight="1" thickBot="1" x14ac:dyDescent="0.6">
      <c r="C23" s="30" t="s">
        <v>5</v>
      </c>
      <c r="D23" s="31" t="s">
        <v>21</v>
      </c>
    </row>
    <row r="24" spans="2:4" x14ac:dyDescent="0.55000000000000004">
      <c r="B24" s="9">
        <v>1</v>
      </c>
      <c r="C24" s="37" t="s">
        <v>31</v>
      </c>
      <c r="D24" s="37" t="s">
        <v>31</v>
      </c>
    </row>
    <row r="25" spans="2:4" x14ac:dyDescent="0.55000000000000004">
      <c r="B25" s="10">
        <v>2</v>
      </c>
      <c r="C25" s="7">
        <v>1</v>
      </c>
      <c r="D25" s="7">
        <v>1</v>
      </c>
    </row>
    <row r="26" spans="2:4" x14ac:dyDescent="0.55000000000000004">
      <c r="B26" s="10">
        <v>3</v>
      </c>
      <c r="C26" s="49">
        <v>1</v>
      </c>
      <c r="D26" s="49">
        <v>1</v>
      </c>
    </row>
    <row r="27" spans="2:4" x14ac:dyDescent="0.55000000000000004">
      <c r="B27" s="10">
        <v>4</v>
      </c>
      <c r="C27" s="7">
        <v>1</v>
      </c>
      <c r="D27" s="7">
        <v>1</v>
      </c>
    </row>
    <row r="28" spans="2:4" x14ac:dyDescent="0.55000000000000004">
      <c r="B28" s="10">
        <v>5</v>
      </c>
      <c r="C28" s="49">
        <v>1</v>
      </c>
      <c r="D28" s="49">
        <v>1</v>
      </c>
    </row>
    <row r="29" spans="2:4" x14ac:dyDescent="0.55000000000000004">
      <c r="B29" s="10">
        <v>6</v>
      </c>
      <c r="C29" s="7">
        <v>1</v>
      </c>
      <c r="D29" s="7">
        <v>0.5</v>
      </c>
    </row>
    <row r="30" spans="2:4" x14ac:dyDescent="0.55000000000000004">
      <c r="B30" s="10">
        <v>7</v>
      </c>
      <c r="C30" s="49">
        <v>1</v>
      </c>
      <c r="D30" s="49">
        <v>1</v>
      </c>
    </row>
    <row r="31" spans="2:4" x14ac:dyDescent="0.55000000000000004">
      <c r="B31" s="10">
        <v>8</v>
      </c>
      <c r="C31" s="7">
        <v>1</v>
      </c>
      <c r="D31" s="7">
        <v>1</v>
      </c>
    </row>
    <row r="32" spans="2:4" x14ac:dyDescent="0.55000000000000004">
      <c r="B32" s="10">
        <v>9</v>
      </c>
      <c r="C32" s="49">
        <v>0.5</v>
      </c>
      <c r="D32" s="49">
        <v>0.5</v>
      </c>
    </row>
    <row r="33" spans="2:4" x14ac:dyDescent="0.55000000000000004">
      <c r="B33" s="10">
        <v>10</v>
      </c>
      <c r="C33" s="7">
        <v>1</v>
      </c>
      <c r="D33" s="7">
        <v>1</v>
      </c>
    </row>
    <row r="34" spans="2:4" x14ac:dyDescent="0.55000000000000004">
      <c r="B34" s="10">
        <v>11</v>
      </c>
      <c r="C34" s="49">
        <v>0.9</v>
      </c>
      <c r="D34" s="49">
        <v>0.9</v>
      </c>
    </row>
    <row r="35" spans="2:4" x14ac:dyDescent="0.55000000000000004">
      <c r="B35" s="10">
        <v>12</v>
      </c>
      <c r="C35" s="7">
        <v>0.5</v>
      </c>
      <c r="D35" s="7">
        <v>0.5</v>
      </c>
    </row>
    <row r="36" spans="2:4" x14ac:dyDescent="0.55000000000000004">
      <c r="B36" s="10">
        <v>13</v>
      </c>
      <c r="C36" s="49">
        <v>1</v>
      </c>
      <c r="D36" s="49">
        <v>1</v>
      </c>
    </row>
    <row r="37" spans="2:4" x14ac:dyDescent="0.55000000000000004">
      <c r="B37" s="10">
        <v>14</v>
      </c>
      <c r="C37" s="7">
        <v>1</v>
      </c>
      <c r="D37" s="7">
        <v>1</v>
      </c>
    </row>
    <row r="38" spans="2:4" x14ac:dyDescent="0.55000000000000004">
      <c r="B38" s="10">
        <v>15</v>
      </c>
      <c r="C38" s="49">
        <v>1</v>
      </c>
      <c r="D38" s="49">
        <v>1</v>
      </c>
    </row>
    <row r="39" spans="2:4" x14ac:dyDescent="0.55000000000000004">
      <c r="B39" s="10">
        <v>16</v>
      </c>
      <c r="C39" s="7">
        <v>1</v>
      </c>
      <c r="D39" s="7">
        <v>1</v>
      </c>
    </row>
    <row r="40" spans="2:4" x14ac:dyDescent="0.55000000000000004">
      <c r="B40" s="10">
        <v>17</v>
      </c>
      <c r="C40" s="49">
        <v>1</v>
      </c>
      <c r="D40" s="49">
        <v>1</v>
      </c>
    </row>
    <row r="41" spans="2:4" x14ac:dyDescent="0.55000000000000004">
      <c r="B41" s="10">
        <v>18</v>
      </c>
      <c r="C41" s="7">
        <v>1</v>
      </c>
      <c r="D41" s="7">
        <v>1</v>
      </c>
    </row>
    <row r="42" spans="2:4" x14ac:dyDescent="0.55000000000000004">
      <c r="B42" s="10">
        <v>19</v>
      </c>
      <c r="C42" s="49">
        <v>0</v>
      </c>
      <c r="D42" s="49">
        <v>0</v>
      </c>
    </row>
    <row r="43" spans="2:4" x14ac:dyDescent="0.55000000000000004">
      <c r="B43" s="10">
        <v>20</v>
      </c>
      <c r="C43" s="7">
        <v>1</v>
      </c>
      <c r="D43" s="7">
        <v>1</v>
      </c>
    </row>
    <row r="44" spans="2:4" ht="14.7" thickBot="1" x14ac:dyDescent="0.6">
      <c r="B44" s="16">
        <v>21</v>
      </c>
      <c r="C44" s="49">
        <v>1</v>
      </c>
      <c r="D44" s="49">
        <v>1</v>
      </c>
    </row>
    <row r="45" spans="2:4" x14ac:dyDescent="0.55000000000000004">
      <c r="B45" s="11">
        <v>1</v>
      </c>
      <c r="C45" s="6">
        <v>0.5</v>
      </c>
      <c r="D45" s="50">
        <v>0.5</v>
      </c>
    </row>
    <row r="46" spans="2:4" x14ac:dyDescent="0.55000000000000004">
      <c r="B46" s="11">
        <v>2</v>
      </c>
      <c r="C46" s="40">
        <v>1</v>
      </c>
      <c r="D46" s="51">
        <v>0.75</v>
      </c>
    </row>
    <row r="47" spans="2:4" x14ac:dyDescent="0.55000000000000004">
      <c r="B47" s="11">
        <v>3</v>
      </c>
      <c r="C47" s="7">
        <v>0.35</v>
      </c>
      <c r="D47" s="29">
        <v>0.35</v>
      </c>
    </row>
    <row r="48" spans="2:4" x14ac:dyDescent="0.55000000000000004">
      <c r="B48" s="11">
        <v>4</v>
      </c>
      <c r="C48" s="42" t="s">
        <v>31</v>
      </c>
      <c r="D48" s="42" t="s">
        <v>31</v>
      </c>
    </row>
    <row r="49" spans="2:4" x14ac:dyDescent="0.55000000000000004">
      <c r="B49" s="11">
        <v>5</v>
      </c>
      <c r="C49" s="42" t="s">
        <v>31</v>
      </c>
      <c r="D49" s="42" t="s">
        <v>31</v>
      </c>
    </row>
    <row r="50" spans="2:4" x14ac:dyDescent="0.55000000000000004">
      <c r="B50" s="11">
        <v>6</v>
      </c>
      <c r="C50" s="40">
        <v>0</v>
      </c>
      <c r="D50" s="51">
        <v>0</v>
      </c>
    </row>
    <row r="51" spans="2:4" x14ac:dyDescent="0.55000000000000004">
      <c r="B51" s="11">
        <v>7</v>
      </c>
      <c r="C51" s="42" t="s">
        <v>31</v>
      </c>
      <c r="D51" s="52" t="s">
        <v>31</v>
      </c>
    </row>
    <row r="52" spans="2:4" x14ac:dyDescent="0.55000000000000004">
      <c r="B52" s="11">
        <v>8</v>
      </c>
      <c r="C52" s="40">
        <v>0</v>
      </c>
      <c r="D52" s="51">
        <v>0</v>
      </c>
    </row>
    <row r="53" spans="2:4" ht="14.7" thickBot="1" x14ac:dyDescent="0.6">
      <c r="B53" s="11">
        <v>9</v>
      </c>
      <c r="C53" s="8">
        <v>0.75</v>
      </c>
      <c r="D53" s="53">
        <v>0.75</v>
      </c>
    </row>
    <row r="54" spans="2:4" x14ac:dyDescent="0.55000000000000004">
      <c r="B54" s="32">
        <v>1</v>
      </c>
      <c r="C54" s="7">
        <v>0</v>
      </c>
      <c r="D54" s="7">
        <v>0</v>
      </c>
    </row>
    <row r="55" spans="2:4" x14ac:dyDescent="0.55000000000000004">
      <c r="B55" s="12">
        <v>2</v>
      </c>
      <c r="C55" s="41">
        <v>0</v>
      </c>
      <c r="D55" s="41">
        <v>0</v>
      </c>
    </row>
    <row r="56" spans="2:4" x14ac:dyDescent="0.55000000000000004">
      <c r="B56" s="12">
        <v>3</v>
      </c>
      <c r="C56" s="7">
        <v>0</v>
      </c>
      <c r="D56" s="7">
        <v>0</v>
      </c>
    </row>
    <row r="57" spans="2:4" ht="14.7" thickBot="1" x14ac:dyDescent="0.6">
      <c r="B57" s="12">
        <v>4</v>
      </c>
      <c r="C57" s="41">
        <v>0</v>
      </c>
      <c r="D57" s="41">
        <v>0</v>
      </c>
    </row>
    <row r="58" spans="2:4" ht="14.7" thickBot="1" x14ac:dyDescent="0.6">
      <c r="B58" s="82" t="s">
        <v>0</v>
      </c>
      <c r="C58" s="19">
        <f>SUM(C24:C57)</f>
        <v>20.5</v>
      </c>
      <c r="D58" s="19">
        <f>SUM(D24:D57)</f>
        <v>19.75</v>
      </c>
    </row>
    <row r="59" spans="2:4" ht="14.7" thickBot="1" x14ac:dyDescent="0.6">
      <c r="B59" s="83"/>
      <c r="C59" s="19">
        <f>C58+D58</f>
        <v>40.25</v>
      </c>
      <c r="D59" s="15" t="s">
        <v>12</v>
      </c>
    </row>
    <row r="60" spans="2:4" ht="14.7" thickBot="1" x14ac:dyDescent="0.6">
      <c r="B60" s="17"/>
      <c r="C60" s="18"/>
      <c r="D60" s="15">
        <f>(C59*10)/(30*2)</f>
        <v>6.708333333333333</v>
      </c>
    </row>
    <row r="62" spans="2:4" ht="14.7" thickBot="1" x14ac:dyDescent="0.6"/>
    <row r="63" spans="2:4" s="1" customFormat="1" ht="14.7" thickBot="1" x14ac:dyDescent="0.6">
      <c r="C63" s="28" t="s">
        <v>2</v>
      </c>
      <c r="D63" s="28"/>
    </row>
    <row r="64" spans="2:4" ht="14.7" thickBot="1" x14ac:dyDescent="0.6">
      <c r="C64" s="84" t="s">
        <v>3</v>
      </c>
      <c r="D64" s="85"/>
    </row>
    <row r="65" spans="3:6" x14ac:dyDescent="0.55000000000000004">
      <c r="C65" s="4" t="s">
        <v>10</v>
      </c>
      <c r="D65" s="67">
        <v>1</v>
      </c>
      <c r="F65" s="62"/>
    </row>
    <row r="66" spans="3:6" x14ac:dyDescent="0.55000000000000004">
      <c r="C66" s="4" t="s">
        <v>16</v>
      </c>
      <c r="D66" s="68">
        <v>1</v>
      </c>
      <c r="F66" s="63" t="s">
        <v>50</v>
      </c>
    </row>
    <row r="67" spans="3:6" x14ac:dyDescent="0.55000000000000004">
      <c r="C67" s="4" t="s">
        <v>15</v>
      </c>
      <c r="D67" s="68">
        <v>1.5</v>
      </c>
      <c r="F67" s="62"/>
    </row>
    <row r="68" spans="3:6" ht="14.7" thickBot="1" x14ac:dyDescent="0.6">
      <c r="C68" s="4" t="s">
        <v>14</v>
      </c>
      <c r="D68" s="69">
        <v>0</v>
      </c>
      <c r="F68" s="63" t="s">
        <v>51</v>
      </c>
    </row>
    <row r="69" spans="3:6" ht="14.7" thickBot="1" x14ac:dyDescent="0.6">
      <c r="C69" s="84" t="s">
        <v>6</v>
      </c>
      <c r="D69" s="85"/>
    </row>
    <row r="70" spans="3:6" x14ac:dyDescent="0.55000000000000004">
      <c r="C70" s="4" t="s">
        <v>18</v>
      </c>
      <c r="D70" s="67">
        <v>1</v>
      </c>
      <c r="F70" s="63" t="s">
        <v>52</v>
      </c>
    </row>
    <row r="71" spans="3:6" x14ac:dyDescent="0.55000000000000004">
      <c r="C71" s="4" t="s">
        <v>17</v>
      </c>
      <c r="D71" s="68">
        <v>1</v>
      </c>
      <c r="F71" s="63" t="s">
        <v>53</v>
      </c>
    </row>
    <row r="72" spans="3:6" ht="14.7" thickBot="1" x14ac:dyDescent="0.6">
      <c r="C72" s="4" t="s">
        <v>7</v>
      </c>
      <c r="D72" s="69">
        <v>0</v>
      </c>
      <c r="F72" s="62"/>
    </row>
    <row r="73" spans="3:6" ht="14.7" thickBot="1" x14ac:dyDescent="0.6">
      <c r="C73" s="86" t="s">
        <v>8</v>
      </c>
      <c r="D73" s="85"/>
    </row>
    <row r="74" spans="3:6" x14ac:dyDescent="0.55000000000000004">
      <c r="C74" s="3" t="s">
        <v>20</v>
      </c>
      <c r="D74" s="67">
        <v>1.25</v>
      </c>
    </row>
    <row r="75" spans="3:6" ht="14.7" thickBot="1" x14ac:dyDescent="0.6">
      <c r="C75" s="5" t="s">
        <v>19</v>
      </c>
      <c r="D75" s="69">
        <v>1.25</v>
      </c>
    </row>
    <row r="76" spans="3:6" ht="14.7" thickBot="1" x14ac:dyDescent="0.6">
      <c r="C76" s="15" t="s">
        <v>11</v>
      </c>
      <c r="D76" s="15">
        <f>SUM(D65:D75)</f>
        <v>8</v>
      </c>
    </row>
    <row r="77" spans="3:6" x14ac:dyDescent="0.55000000000000004">
      <c r="D77" s="13"/>
    </row>
    <row r="78" spans="3:6" ht="14.7" thickBot="1" x14ac:dyDescent="0.6">
      <c r="D78" s="2"/>
    </row>
    <row r="79" spans="3:6" ht="14.7" thickBot="1" x14ac:dyDescent="0.6">
      <c r="C79" s="15" t="s">
        <v>9</v>
      </c>
      <c r="D79" s="15">
        <f>(D60*0.7)+(D76*0.3)</f>
        <v>7.0958333333333332</v>
      </c>
    </row>
    <row r="80" spans="3:6" x14ac:dyDescent="0.55000000000000004">
      <c r="D80" s="2"/>
    </row>
    <row r="81" spans="4:4" x14ac:dyDescent="0.55000000000000004">
      <c r="D81" s="2"/>
    </row>
  </sheetData>
  <mergeCells count="5">
    <mergeCell ref="C22:D22"/>
    <mergeCell ref="B58:B59"/>
    <mergeCell ref="C64:D64"/>
    <mergeCell ref="C69:D69"/>
    <mergeCell ref="C73:D73"/>
  </mergeCells>
  <hyperlinks>
    <hyperlink ref="C6" r:id="rId1" xr:uid="{A47FAB79-42EB-4614-8883-1DB39668A390}"/>
  </hyperlinks>
  <pageMargins left="0.70866141732283472" right="0.70866141732283472" top="0.74803149606299213" bottom="0.74803149606299213" header="0.31496062992125984" footer="0.31496062992125984"/>
  <pageSetup paperSize="9" scale="59"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D5F3-C942-4700-AD7E-593CA754123B}">
  <sheetPr>
    <pageSetUpPr fitToPage="1"/>
  </sheetPr>
  <dimension ref="A1:N68"/>
  <sheetViews>
    <sheetView topLeftCell="C40" zoomScale="160" zoomScaleNormal="160" workbookViewId="0">
      <selection activeCell="F48" sqref="F48"/>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 min="5" max="5" width="2.68359375" customWidth="1"/>
  </cols>
  <sheetData>
    <row r="1" spans="1:4" s="22" customFormat="1" x14ac:dyDescent="0.55000000000000004">
      <c r="A1" s="20"/>
      <c r="B1" s="21" t="s">
        <v>4</v>
      </c>
    </row>
    <row r="2" spans="1:4" s="25" customFormat="1" ht="14.7" thickBot="1" x14ac:dyDescent="0.6">
      <c r="A2" s="23"/>
      <c r="B2" s="24" t="s">
        <v>13</v>
      </c>
    </row>
    <row r="3" spans="1:4" s="26" customFormat="1" x14ac:dyDescent="0.55000000000000004">
      <c r="B3" s="27"/>
    </row>
    <row r="4" spans="1:4" s="43" customFormat="1" x14ac:dyDescent="0.55000000000000004">
      <c r="B4" s="44"/>
      <c r="C4" s="45" t="s">
        <v>33</v>
      </c>
    </row>
    <row r="5" spans="1:4" s="26" customFormat="1" x14ac:dyDescent="0.55000000000000004"/>
    <row r="6" spans="1:4" s="26" customFormat="1" x14ac:dyDescent="0.55000000000000004">
      <c r="B6" s="27"/>
      <c r="C6" s="47" t="s">
        <v>34</v>
      </c>
    </row>
    <row r="7" spans="1:4" s="26" customFormat="1" x14ac:dyDescent="0.55000000000000004">
      <c r="B7" s="27"/>
      <c r="C7" s="47"/>
    </row>
    <row r="8" spans="1:4" ht="14.7" thickBot="1" x14ac:dyDescent="0.6"/>
    <row r="9" spans="1:4" ht="14.7" thickBot="1" x14ac:dyDescent="0.6">
      <c r="C9" s="87" t="s">
        <v>1</v>
      </c>
      <c r="D9" s="88"/>
    </row>
    <row r="10" spans="1:4" ht="49.2" customHeight="1" thickBot="1" x14ac:dyDescent="0.6">
      <c r="C10" s="30" t="s">
        <v>5</v>
      </c>
      <c r="D10" s="31" t="s">
        <v>21</v>
      </c>
    </row>
    <row r="11" spans="1:4" x14ac:dyDescent="0.55000000000000004">
      <c r="B11" s="9">
        <v>1</v>
      </c>
      <c r="C11" s="37" t="s">
        <v>31</v>
      </c>
      <c r="D11" s="37" t="s">
        <v>31</v>
      </c>
    </row>
    <row r="12" spans="1:4" x14ac:dyDescent="0.55000000000000004">
      <c r="B12" s="10">
        <v>2</v>
      </c>
      <c r="C12" s="7">
        <v>1</v>
      </c>
      <c r="D12" s="7">
        <v>1</v>
      </c>
    </row>
    <row r="13" spans="1:4" x14ac:dyDescent="0.55000000000000004">
      <c r="B13" s="10">
        <v>3</v>
      </c>
      <c r="C13" s="49">
        <v>1</v>
      </c>
      <c r="D13" s="49">
        <v>1</v>
      </c>
    </row>
    <row r="14" spans="1:4" x14ac:dyDescent="0.55000000000000004">
      <c r="B14" s="10">
        <v>4</v>
      </c>
      <c r="C14" s="7">
        <v>1</v>
      </c>
      <c r="D14" s="7">
        <v>1</v>
      </c>
    </row>
    <row r="15" spans="1:4" x14ac:dyDescent="0.55000000000000004">
      <c r="B15" s="10">
        <v>5</v>
      </c>
      <c r="C15" s="49">
        <v>1</v>
      </c>
      <c r="D15" s="49">
        <v>1</v>
      </c>
    </row>
    <row r="16" spans="1:4" x14ac:dyDescent="0.55000000000000004">
      <c r="B16" s="10">
        <v>6</v>
      </c>
      <c r="C16" s="7">
        <v>1</v>
      </c>
      <c r="D16" s="7">
        <v>0.5</v>
      </c>
    </row>
    <row r="17" spans="2:4" x14ac:dyDescent="0.55000000000000004">
      <c r="B17" s="10">
        <v>7</v>
      </c>
      <c r="C17" s="49">
        <v>1</v>
      </c>
      <c r="D17" s="49">
        <v>1</v>
      </c>
    </row>
    <row r="18" spans="2:4" x14ac:dyDescent="0.55000000000000004">
      <c r="B18" s="10">
        <v>8</v>
      </c>
      <c r="C18" s="7">
        <v>1</v>
      </c>
      <c r="D18" s="7">
        <v>1</v>
      </c>
    </row>
    <row r="19" spans="2:4" x14ac:dyDescent="0.55000000000000004">
      <c r="B19" s="10">
        <v>9</v>
      </c>
      <c r="C19" s="49">
        <v>1</v>
      </c>
      <c r="D19" s="49">
        <v>1</v>
      </c>
    </row>
    <row r="20" spans="2:4" x14ac:dyDescent="0.55000000000000004">
      <c r="B20" s="10">
        <v>10</v>
      </c>
      <c r="C20" s="7">
        <v>0</v>
      </c>
      <c r="D20" s="7">
        <v>0</v>
      </c>
    </row>
    <row r="21" spans="2:4" x14ac:dyDescent="0.55000000000000004">
      <c r="B21" s="10">
        <v>11</v>
      </c>
      <c r="C21" s="49">
        <v>1</v>
      </c>
      <c r="D21" s="49">
        <v>1</v>
      </c>
    </row>
    <row r="22" spans="2:4" x14ac:dyDescent="0.55000000000000004">
      <c r="B22" s="10">
        <v>12</v>
      </c>
      <c r="C22" s="7">
        <v>0.75</v>
      </c>
      <c r="D22" s="7">
        <v>0.75</v>
      </c>
    </row>
    <row r="23" spans="2:4" x14ac:dyDescent="0.55000000000000004">
      <c r="B23" s="10">
        <v>13</v>
      </c>
      <c r="C23" s="49">
        <v>1</v>
      </c>
      <c r="D23" s="49">
        <v>1</v>
      </c>
    </row>
    <row r="24" spans="2:4" x14ac:dyDescent="0.55000000000000004">
      <c r="B24" s="10">
        <v>14</v>
      </c>
      <c r="C24" s="7">
        <v>1</v>
      </c>
      <c r="D24" s="7">
        <v>1</v>
      </c>
    </row>
    <row r="25" spans="2:4" x14ac:dyDescent="0.55000000000000004">
      <c r="B25" s="10">
        <v>15</v>
      </c>
      <c r="C25" s="49">
        <v>1</v>
      </c>
      <c r="D25" s="49">
        <v>1</v>
      </c>
    </row>
    <row r="26" spans="2:4" x14ac:dyDescent="0.55000000000000004">
      <c r="B26" s="10">
        <v>16</v>
      </c>
      <c r="C26" s="7">
        <v>1</v>
      </c>
      <c r="D26" s="7">
        <v>1</v>
      </c>
    </row>
    <row r="27" spans="2:4" x14ac:dyDescent="0.55000000000000004">
      <c r="B27" s="10">
        <v>17</v>
      </c>
      <c r="C27" s="49">
        <v>1</v>
      </c>
      <c r="D27" s="49">
        <v>1</v>
      </c>
    </row>
    <row r="28" spans="2:4" x14ac:dyDescent="0.55000000000000004">
      <c r="B28" s="10">
        <v>18</v>
      </c>
      <c r="C28" s="7">
        <v>1</v>
      </c>
      <c r="D28" s="7">
        <v>1</v>
      </c>
    </row>
    <row r="29" spans="2:4" x14ac:dyDescent="0.55000000000000004">
      <c r="B29" s="10">
        <v>19</v>
      </c>
      <c r="C29" s="49">
        <v>1</v>
      </c>
      <c r="D29" s="49">
        <v>1</v>
      </c>
    </row>
    <row r="30" spans="2:4" x14ac:dyDescent="0.55000000000000004">
      <c r="B30" s="10">
        <v>20</v>
      </c>
      <c r="C30" s="7">
        <v>1</v>
      </c>
      <c r="D30" s="7">
        <v>1</v>
      </c>
    </row>
    <row r="31" spans="2:4" ht="14.7" thickBot="1" x14ac:dyDescent="0.6">
      <c r="B31" s="16">
        <v>21</v>
      </c>
      <c r="C31" s="49">
        <v>1</v>
      </c>
      <c r="D31" s="49">
        <v>0.5</v>
      </c>
    </row>
    <row r="32" spans="2:4" x14ac:dyDescent="0.55000000000000004">
      <c r="B32" s="11">
        <v>1</v>
      </c>
      <c r="C32" s="6">
        <v>1</v>
      </c>
      <c r="D32" s="50">
        <v>1</v>
      </c>
    </row>
    <row r="33" spans="2:4" x14ac:dyDescent="0.55000000000000004">
      <c r="B33" s="11">
        <v>2</v>
      </c>
      <c r="C33" s="40">
        <v>1</v>
      </c>
      <c r="D33" s="51">
        <v>1</v>
      </c>
    </row>
    <row r="34" spans="2:4" x14ac:dyDescent="0.55000000000000004">
      <c r="B34" s="11">
        <v>3</v>
      </c>
      <c r="C34" s="7">
        <v>1</v>
      </c>
      <c r="D34" s="29">
        <v>1</v>
      </c>
    </row>
    <row r="35" spans="2:4" x14ac:dyDescent="0.55000000000000004">
      <c r="B35" s="11">
        <v>4</v>
      </c>
      <c r="C35" s="42" t="s">
        <v>31</v>
      </c>
      <c r="D35" s="52" t="s">
        <v>31</v>
      </c>
    </row>
    <row r="36" spans="2:4" x14ac:dyDescent="0.55000000000000004">
      <c r="B36" s="11">
        <v>5</v>
      </c>
      <c r="C36" s="42" t="s">
        <v>31</v>
      </c>
      <c r="D36" s="42" t="s">
        <v>31</v>
      </c>
    </row>
    <row r="37" spans="2:4" x14ac:dyDescent="0.55000000000000004">
      <c r="B37" s="11">
        <v>6</v>
      </c>
      <c r="C37" s="40">
        <v>0</v>
      </c>
      <c r="D37" s="40">
        <v>0</v>
      </c>
    </row>
    <row r="38" spans="2:4" x14ac:dyDescent="0.55000000000000004">
      <c r="B38" s="11">
        <v>7</v>
      </c>
      <c r="C38" s="42" t="s">
        <v>31</v>
      </c>
      <c r="D38" s="52" t="s">
        <v>31</v>
      </c>
    </row>
    <row r="39" spans="2:4" x14ac:dyDescent="0.55000000000000004">
      <c r="B39" s="11">
        <v>8</v>
      </c>
      <c r="C39" s="40">
        <v>0.9</v>
      </c>
      <c r="D39" s="40">
        <v>0.9</v>
      </c>
    </row>
    <row r="40" spans="2:4" ht="14.7" thickBot="1" x14ac:dyDescent="0.6">
      <c r="B40" s="11">
        <v>9</v>
      </c>
      <c r="C40" s="8">
        <v>1</v>
      </c>
      <c r="D40" s="53">
        <v>1</v>
      </c>
    </row>
    <row r="41" spans="2:4" x14ac:dyDescent="0.55000000000000004">
      <c r="B41" s="46">
        <v>1</v>
      </c>
      <c r="C41" s="7">
        <v>1</v>
      </c>
      <c r="D41" s="7">
        <v>1</v>
      </c>
    </row>
    <row r="42" spans="2:4" x14ac:dyDescent="0.55000000000000004">
      <c r="B42" s="12">
        <v>2</v>
      </c>
      <c r="C42" s="41">
        <v>0</v>
      </c>
      <c r="D42" s="41">
        <v>0</v>
      </c>
    </row>
    <row r="43" spans="2:4" x14ac:dyDescent="0.55000000000000004">
      <c r="B43" s="12">
        <v>3</v>
      </c>
      <c r="C43" s="7">
        <v>0</v>
      </c>
      <c r="D43" s="7">
        <v>0</v>
      </c>
    </row>
    <row r="44" spans="2:4" ht="14.7" thickBot="1" x14ac:dyDescent="0.6">
      <c r="B44" s="12">
        <v>4</v>
      </c>
      <c r="C44" s="41">
        <v>0.5</v>
      </c>
      <c r="D44" s="41">
        <v>0.5</v>
      </c>
    </row>
    <row r="45" spans="2:4" ht="14.7" thickBot="1" x14ac:dyDescent="0.6">
      <c r="B45" s="82" t="s">
        <v>0</v>
      </c>
      <c r="C45" s="19">
        <f>SUM(C11:C44)</f>
        <v>25.15</v>
      </c>
      <c r="D45" s="19">
        <f>SUM(D11:D44)</f>
        <v>24.15</v>
      </c>
    </row>
    <row r="46" spans="2:4" ht="14.7" thickBot="1" x14ac:dyDescent="0.6">
      <c r="B46" s="83"/>
      <c r="C46" s="19">
        <f>C45+D45</f>
        <v>49.3</v>
      </c>
      <c r="D46" s="15" t="s">
        <v>12</v>
      </c>
    </row>
    <row r="47" spans="2:4" ht="14.7" thickBot="1" x14ac:dyDescent="0.6">
      <c r="B47" s="17"/>
      <c r="C47" s="18"/>
      <c r="D47" s="15">
        <f>(C46*10)/(30*2)</f>
        <v>8.2166666666666668</v>
      </c>
    </row>
    <row r="49" spans="3:14" ht="14.7" thickBot="1" x14ac:dyDescent="0.6"/>
    <row r="50" spans="3:14" s="1" customFormat="1" ht="14.7" thickBot="1" x14ac:dyDescent="0.6">
      <c r="C50" s="28" t="s">
        <v>2</v>
      </c>
      <c r="D50" s="28"/>
    </row>
    <row r="51" spans="3:14" ht="14.7" thickBot="1" x14ac:dyDescent="0.6">
      <c r="C51" s="84" t="s">
        <v>3</v>
      </c>
      <c r="D51" s="85"/>
      <c r="E51" s="65"/>
    </row>
    <row r="52" spans="3:14" ht="17.399999999999999" customHeight="1" x14ac:dyDescent="0.55000000000000004">
      <c r="C52" s="4" t="s">
        <v>10</v>
      </c>
      <c r="D52" s="64">
        <v>0</v>
      </c>
      <c r="F52" s="89" t="s">
        <v>41</v>
      </c>
      <c r="G52" s="89"/>
      <c r="H52" s="89"/>
      <c r="I52" s="89"/>
      <c r="J52" s="89"/>
      <c r="K52" s="89"/>
      <c r="L52" s="89"/>
      <c r="M52" s="89"/>
      <c r="N52" s="89"/>
    </row>
    <row r="53" spans="3:14" x14ac:dyDescent="0.55000000000000004">
      <c r="C53" s="4" t="s">
        <v>16</v>
      </c>
      <c r="D53" s="64">
        <v>0.25</v>
      </c>
      <c r="F53" s="90" t="s">
        <v>42</v>
      </c>
      <c r="G53" s="90"/>
      <c r="H53" s="90"/>
      <c r="I53" s="90"/>
      <c r="J53" s="90"/>
      <c r="K53" s="90"/>
      <c r="L53" s="90"/>
      <c r="M53" s="90"/>
      <c r="N53" s="90"/>
    </row>
    <row r="54" spans="3:14" x14ac:dyDescent="0.55000000000000004">
      <c r="C54" s="4" t="s">
        <v>15</v>
      </c>
      <c r="D54" s="64">
        <v>0.25</v>
      </c>
      <c r="F54" s="90" t="s">
        <v>43</v>
      </c>
      <c r="G54" s="90"/>
      <c r="H54" s="90"/>
      <c r="I54" s="90"/>
      <c r="J54" s="90"/>
      <c r="K54" s="90"/>
      <c r="L54" s="90"/>
      <c r="M54" s="90"/>
      <c r="N54" s="90"/>
    </row>
    <row r="55" spans="3:14" ht="14.7" thickBot="1" x14ac:dyDescent="0.6">
      <c r="C55" s="4" t="s">
        <v>14</v>
      </c>
      <c r="D55" s="64">
        <v>0</v>
      </c>
      <c r="F55" s="90" t="s">
        <v>49</v>
      </c>
      <c r="G55" s="90"/>
      <c r="H55" s="90"/>
      <c r="I55" s="90"/>
      <c r="J55" s="90"/>
      <c r="K55" s="90"/>
      <c r="L55" s="90"/>
      <c r="M55" s="90"/>
      <c r="N55" s="90"/>
    </row>
    <row r="56" spans="3:14" ht="14.7" thickBot="1" x14ac:dyDescent="0.6">
      <c r="C56" s="84" t="s">
        <v>6</v>
      </c>
      <c r="D56" s="85"/>
      <c r="E56" s="65"/>
      <c r="F56" s="66"/>
      <c r="G56" s="66"/>
      <c r="H56" s="66"/>
      <c r="I56" s="66"/>
      <c r="J56" s="66"/>
      <c r="K56" s="66"/>
      <c r="L56" s="66"/>
      <c r="M56" s="66"/>
      <c r="N56" s="66"/>
    </row>
    <row r="57" spans="3:14" x14ac:dyDescent="0.55000000000000004">
      <c r="C57" s="4" t="s">
        <v>18</v>
      </c>
      <c r="D57" s="64">
        <v>0</v>
      </c>
      <c r="F57" s="63" t="s">
        <v>44</v>
      </c>
      <c r="G57" s="62"/>
      <c r="H57" s="62"/>
      <c r="I57" s="62"/>
    </row>
    <row r="58" spans="3:14" x14ac:dyDescent="0.55000000000000004">
      <c r="C58" s="4" t="s">
        <v>17</v>
      </c>
      <c r="D58" s="64">
        <v>0</v>
      </c>
      <c r="F58" s="63" t="s">
        <v>45</v>
      </c>
      <c r="G58" s="62"/>
      <c r="H58" s="62"/>
      <c r="I58" s="62"/>
    </row>
    <row r="59" spans="3:14" ht="14.7" thickBot="1" x14ac:dyDescent="0.6">
      <c r="C59" s="4" t="s">
        <v>7</v>
      </c>
      <c r="D59" s="64">
        <v>1</v>
      </c>
      <c r="F59" s="63" t="s">
        <v>46</v>
      </c>
      <c r="G59" s="62"/>
      <c r="H59" s="62"/>
      <c r="I59" s="62"/>
    </row>
    <row r="60" spans="3:14" ht="14.7" thickBot="1" x14ac:dyDescent="0.6">
      <c r="C60" s="86" t="s">
        <v>8</v>
      </c>
      <c r="D60" s="85"/>
      <c r="E60" s="65"/>
    </row>
    <row r="61" spans="3:14" x14ac:dyDescent="0.55000000000000004">
      <c r="C61" s="3" t="s">
        <v>20</v>
      </c>
      <c r="D61" s="64">
        <v>0.75</v>
      </c>
      <c r="F61" s="63" t="s">
        <v>47</v>
      </c>
      <c r="G61" s="62"/>
      <c r="H61" s="62"/>
      <c r="I61" s="62"/>
      <c r="J61" s="62"/>
      <c r="K61" s="62"/>
    </row>
    <row r="62" spans="3:14" ht="14.7" thickBot="1" x14ac:dyDescent="0.6">
      <c r="C62" s="5" t="s">
        <v>19</v>
      </c>
      <c r="D62" s="64">
        <v>0.75</v>
      </c>
      <c r="F62" s="63" t="s">
        <v>48</v>
      </c>
      <c r="G62" s="62"/>
      <c r="H62" s="62"/>
      <c r="I62" s="62"/>
      <c r="J62" s="62"/>
      <c r="K62" s="62"/>
    </row>
    <row r="63" spans="3:14" ht="14.7" thickBot="1" x14ac:dyDescent="0.6">
      <c r="C63" s="15" t="s">
        <v>11</v>
      </c>
      <c r="D63" s="15">
        <f>SUM(D52:D60)</f>
        <v>1.5</v>
      </c>
      <c r="E63" s="65"/>
    </row>
    <row r="64" spans="3:14" x14ac:dyDescent="0.55000000000000004">
      <c r="D64" s="13"/>
    </row>
    <row r="65" spans="3:4" ht="14.7" thickBot="1" x14ac:dyDescent="0.6">
      <c r="D65" s="2"/>
    </row>
    <row r="66" spans="3:4" ht="14.7" thickBot="1" x14ac:dyDescent="0.6">
      <c r="C66" s="15" t="s">
        <v>9</v>
      </c>
      <c r="D66" s="15">
        <f>(D47*0.7)+(D63*0.3)</f>
        <v>6.2016666666666662</v>
      </c>
    </row>
    <row r="67" spans="3:4" x14ac:dyDescent="0.55000000000000004">
      <c r="D67" s="2"/>
    </row>
    <row r="68" spans="3:4" x14ac:dyDescent="0.55000000000000004">
      <c r="D68" s="2"/>
    </row>
  </sheetData>
  <mergeCells count="9">
    <mergeCell ref="C9:D9"/>
    <mergeCell ref="B45:B46"/>
    <mergeCell ref="C51:D51"/>
    <mergeCell ref="C56:D56"/>
    <mergeCell ref="C60:D60"/>
    <mergeCell ref="F54:N54"/>
    <mergeCell ref="F55:N55"/>
    <mergeCell ref="F52:N52"/>
    <mergeCell ref="F53:N53"/>
  </mergeCells>
  <hyperlinks>
    <hyperlink ref="C6" r:id="rId1" xr:uid="{4D724516-A40D-4593-B42B-55344169DA5E}"/>
  </hyperlinks>
  <pageMargins left="0.70866141732283472" right="0.70866141732283472" top="0.74803149606299213" bottom="0.74803149606299213" header="0.31496062992125984" footer="0.31496062992125984"/>
  <pageSetup paperSize="9" scale="70" orientation="portrait" r:id="rId2"/>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385A-260F-4310-8C3D-4A623475C169}">
  <sheetPr>
    <pageSetUpPr fitToPage="1"/>
  </sheetPr>
  <dimension ref="A1:D68"/>
  <sheetViews>
    <sheetView topLeftCell="A34" zoomScale="160" zoomScaleNormal="160" workbookViewId="0">
      <selection activeCell="C41" sqref="C41"/>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s>
  <sheetData>
    <row r="1" spans="1:4" s="22" customFormat="1" x14ac:dyDescent="0.55000000000000004">
      <c r="A1" s="20"/>
      <c r="B1" s="21" t="s">
        <v>4</v>
      </c>
    </row>
    <row r="2" spans="1:4" s="25" customFormat="1" ht="14.7" thickBot="1" x14ac:dyDescent="0.6">
      <c r="A2" s="23"/>
      <c r="B2" s="24" t="s">
        <v>13</v>
      </c>
    </row>
    <row r="3" spans="1:4" s="26" customFormat="1" x14ac:dyDescent="0.55000000000000004">
      <c r="B3" s="27"/>
    </row>
    <row r="4" spans="1:4" s="43" customFormat="1" x14ac:dyDescent="0.55000000000000004">
      <c r="B4" s="44"/>
      <c r="C4" s="45" t="s">
        <v>40</v>
      </c>
    </row>
    <row r="5" spans="1:4" s="26" customFormat="1" x14ac:dyDescent="0.55000000000000004">
      <c r="B5" s="27"/>
    </row>
    <row r="6" spans="1:4" s="26" customFormat="1" x14ac:dyDescent="0.55000000000000004">
      <c r="B6" s="27"/>
      <c r="C6" s="47" t="s">
        <v>39</v>
      </c>
    </row>
    <row r="7" spans="1:4" s="26" customFormat="1" x14ac:dyDescent="0.55000000000000004">
      <c r="B7" s="27"/>
    </row>
    <row r="8" spans="1:4" ht="14.7" thickBot="1" x14ac:dyDescent="0.6"/>
    <row r="9" spans="1:4" ht="14.7" thickBot="1" x14ac:dyDescent="0.6">
      <c r="C9" s="87" t="s">
        <v>1</v>
      </c>
      <c r="D9" s="88"/>
    </row>
    <row r="10" spans="1:4" ht="49.2" customHeight="1" thickBot="1" x14ac:dyDescent="0.6">
      <c r="C10" s="30" t="s">
        <v>5</v>
      </c>
      <c r="D10" s="31" t="s">
        <v>21</v>
      </c>
    </row>
    <row r="11" spans="1:4" x14ac:dyDescent="0.55000000000000004">
      <c r="B11" s="9">
        <v>1</v>
      </c>
      <c r="C11" s="37" t="s">
        <v>31</v>
      </c>
      <c r="D11" s="56" t="s">
        <v>31</v>
      </c>
    </row>
    <row r="12" spans="1:4" x14ac:dyDescent="0.55000000000000004">
      <c r="B12" s="10">
        <v>2</v>
      </c>
      <c r="C12" s="7">
        <v>1</v>
      </c>
      <c r="D12" s="7">
        <v>1</v>
      </c>
    </row>
    <row r="13" spans="1:4" x14ac:dyDescent="0.55000000000000004">
      <c r="B13" s="10">
        <v>3</v>
      </c>
      <c r="C13" s="49">
        <v>1</v>
      </c>
      <c r="D13" s="49">
        <v>1</v>
      </c>
    </row>
    <row r="14" spans="1:4" x14ac:dyDescent="0.55000000000000004">
      <c r="B14" s="10">
        <v>4</v>
      </c>
      <c r="C14" s="7">
        <v>1</v>
      </c>
      <c r="D14" s="7">
        <v>1</v>
      </c>
    </row>
    <row r="15" spans="1:4" x14ac:dyDescent="0.55000000000000004">
      <c r="B15" s="10">
        <v>5</v>
      </c>
      <c r="C15" s="49">
        <v>1</v>
      </c>
      <c r="D15" s="49">
        <v>1</v>
      </c>
    </row>
    <row r="16" spans="1:4" x14ac:dyDescent="0.55000000000000004">
      <c r="B16" s="10">
        <v>6</v>
      </c>
      <c r="C16" s="7">
        <v>0.75</v>
      </c>
      <c r="D16" s="7">
        <v>0.5</v>
      </c>
    </row>
    <row r="17" spans="2:4" x14ac:dyDescent="0.55000000000000004">
      <c r="B17" s="10">
        <v>7</v>
      </c>
      <c r="C17" s="49">
        <v>1</v>
      </c>
      <c r="D17" s="49">
        <v>1</v>
      </c>
    </row>
    <row r="18" spans="2:4" x14ac:dyDescent="0.55000000000000004">
      <c r="B18" s="10">
        <v>8</v>
      </c>
      <c r="C18" s="7">
        <v>0.75</v>
      </c>
      <c r="D18" s="7">
        <v>0.75</v>
      </c>
    </row>
    <row r="19" spans="2:4" x14ac:dyDescent="0.55000000000000004">
      <c r="B19" s="10">
        <v>9</v>
      </c>
      <c r="C19" s="49">
        <v>0.5</v>
      </c>
      <c r="D19" s="49">
        <v>0.5</v>
      </c>
    </row>
    <row r="20" spans="2:4" x14ac:dyDescent="0.55000000000000004">
      <c r="B20" s="10">
        <v>10</v>
      </c>
      <c r="C20" s="7">
        <v>1</v>
      </c>
      <c r="D20" s="7">
        <v>1</v>
      </c>
    </row>
    <row r="21" spans="2:4" x14ac:dyDescent="0.55000000000000004">
      <c r="B21" s="10">
        <v>11</v>
      </c>
      <c r="C21" s="49">
        <v>1</v>
      </c>
      <c r="D21" s="49">
        <v>1</v>
      </c>
    </row>
    <row r="22" spans="2:4" x14ac:dyDescent="0.55000000000000004">
      <c r="B22" s="10">
        <v>12</v>
      </c>
      <c r="C22" s="7">
        <v>1</v>
      </c>
      <c r="D22" s="7">
        <v>1</v>
      </c>
    </row>
    <row r="23" spans="2:4" x14ac:dyDescent="0.55000000000000004">
      <c r="B23" s="10">
        <v>13</v>
      </c>
      <c r="C23" s="49">
        <v>1</v>
      </c>
      <c r="D23" s="49">
        <v>1</v>
      </c>
    </row>
    <row r="24" spans="2:4" x14ac:dyDescent="0.55000000000000004">
      <c r="B24" s="10">
        <v>14</v>
      </c>
      <c r="C24" s="7">
        <v>1</v>
      </c>
      <c r="D24" s="7">
        <v>1</v>
      </c>
    </row>
    <row r="25" spans="2:4" x14ac:dyDescent="0.55000000000000004">
      <c r="B25" s="10">
        <v>15</v>
      </c>
      <c r="C25" s="49">
        <v>1</v>
      </c>
      <c r="D25" s="49">
        <v>1</v>
      </c>
    </row>
    <row r="26" spans="2:4" x14ac:dyDescent="0.55000000000000004">
      <c r="B26" s="10">
        <v>16</v>
      </c>
      <c r="C26" s="7">
        <v>1</v>
      </c>
      <c r="D26" s="7">
        <v>1</v>
      </c>
    </row>
    <row r="27" spans="2:4" x14ac:dyDescent="0.55000000000000004">
      <c r="B27" s="10">
        <v>17</v>
      </c>
      <c r="C27" s="49">
        <v>0.5</v>
      </c>
      <c r="D27" s="49">
        <v>0.5</v>
      </c>
    </row>
    <row r="28" spans="2:4" x14ac:dyDescent="0.55000000000000004">
      <c r="B28" s="10">
        <v>18</v>
      </c>
      <c r="C28" s="7">
        <v>0</v>
      </c>
      <c r="D28" s="7">
        <v>0</v>
      </c>
    </row>
    <row r="29" spans="2:4" x14ac:dyDescent="0.55000000000000004">
      <c r="B29" s="10">
        <v>19</v>
      </c>
      <c r="C29" s="49">
        <v>0</v>
      </c>
      <c r="D29" s="49">
        <v>0</v>
      </c>
    </row>
    <row r="30" spans="2:4" x14ac:dyDescent="0.55000000000000004">
      <c r="B30" s="10">
        <v>20</v>
      </c>
      <c r="C30" s="7">
        <v>1</v>
      </c>
      <c r="D30" s="7">
        <v>1</v>
      </c>
    </row>
    <row r="31" spans="2:4" ht="14.7" thickBot="1" x14ac:dyDescent="0.6">
      <c r="B31" s="16">
        <v>21</v>
      </c>
      <c r="C31" s="57">
        <v>1</v>
      </c>
      <c r="D31" s="57">
        <v>0.75</v>
      </c>
    </row>
    <row r="32" spans="2:4" x14ac:dyDescent="0.55000000000000004">
      <c r="B32" s="11">
        <v>1</v>
      </c>
      <c r="C32" s="7">
        <v>1</v>
      </c>
      <c r="D32" s="7">
        <v>1</v>
      </c>
    </row>
    <row r="33" spans="2:4" x14ac:dyDescent="0.55000000000000004">
      <c r="B33" s="11">
        <v>2</v>
      </c>
      <c r="C33" s="40">
        <v>1</v>
      </c>
      <c r="D33" s="40">
        <v>1</v>
      </c>
    </row>
    <row r="34" spans="2:4" x14ac:dyDescent="0.55000000000000004">
      <c r="B34" s="11">
        <v>3</v>
      </c>
      <c r="C34" s="7">
        <v>1</v>
      </c>
      <c r="D34" s="7">
        <v>1</v>
      </c>
    </row>
    <row r="35" spans="2:4" x14ac:dyDescent="0.55000000000000004">
      <c r="B35" s="11">
        <v>4</v>
      </c>
      <c r="C35" s="42" t="s">
        <v>31</v>
      </c>
      <c r="D35" s="52" t="s">
        <v>31</v>
      </c>
    </row>
    <row r="36" spans="2:4" x14ac:dyDescent="0.55000000000000004">
      <c r="B36" s="11">
        <v>5</v>
      </c>
      <c r="C36" s="42" t="s">
        <v>31</v>
      </c>
      <c r="D36" s="42" t="s">
        <v>31</v>
      </c>
    </row>
    <row r="37" spans="2:4" x14ac:dyDescent="0.55000000000000004">
      <c r="B37" s="11">
        <v>6</v>
      </c>
      <c r="C37" s="40">
        <v>0</v>
      </c>
      <c r="D37" s="40">
        <v>0</v>
      </c>
    </row>
    <row r="38" spans="2:4" x14ac:dyDescent="0.55000000000000004">
      <c r="B38" s="11">
        <v>7</v>
      </c>
      <c r="C38" s="42" t="s">
        <v>31</v>
      </c>
      <c r="D38" s="42" t="s">
        <v>31</v>
      </c>
    </row>
    <row r="39" spans="2:4" x14ac:dyDescent="0.55000000000000004">
      <c r="B39" s="11">
        <v>8</v>
      </c>
      <c r="C39" s="40">
        <v>0.9</v>
      </c>
      <c r="D39" s="40">
        <v>0.9</v>
      </c>
    </row>
    <row r="40" spans="2:4" ht="14.7" thickBot="1" x14ac:dyDescent="0.6">
      <c r="B40" s="11">
        <v>9</v>
      </c>
      <c r="C40" s="7">
        <v>0</v>
      </c>
      <c r="D40" s="7">
        <v>0</v>
      </c>
    </row>
    <row r="41" spans="2:4" x14ac:dyDescent="0.55000000000000004">
      <c r="B41" s="32">
        <v>1</v>
      </c>
      <c r="C41" s="58">
        <v>1</v>
      </c>
      <c r="D41" s="58">
        <v>1</v>
      </c>
    </row>
    <row r="42" spans="2:4" x14ac:dyDescent="0.55000000000000004">
      <c r="B42" s="12">
        <v>2</v>
      </c>
      <c r="C42" s="7">
        <v>1</v>
      </c>
      <c r="D42" s="7">
        <v>1</v>
      </c>
    </row>
    <row r="43" spans="2:4" x14ac:dyDescent="0.55000000000000004">
      <c r="B43" s="12">
        <v>3</v>
      </c>
      <c r="C43" s="41">
        <v>0</v>
      </c>
      <c r="D43" s="41">
        <v>0</v>
      </c>
    </row>
    <row r="44" spans="2:4" ht="14.7" thickBot="1" x14ac:dyDescent="0.6">
      <c r="B44" s="12">
        <v>4</v>
      </c>
      <c r="C44" s="7">
        <v>6</v>
      </c>
      <c r="D44" s="7">
        <v>6</v>
      </c>
    </row>
    <row r="45" spans="2:4" ht="14.7" thickBot="1" x14ac:dyDescent="0.6">
      <c r="B45" s="82" t="s">
        <v>0</v>
      </c>
      <c r="C45" s="59">
        <f>SUM(C11:C44)</f>
        <v>28.4</v>
      </c>
      <c r="D45" s="59">
        <f>SUM(D11:D44)</f>
        <v>27.9</v>
      </c>
    </row>
    <row r="46" spans="2:4" ht="14.7" thickBot="1" x14ac:dyDescent="0.6">
      <c r="B46" s="83"/>
      <c r="C46" s="19">
        <f>C45+D45</f>
        <v>56.3</v>
      </c>
      <c r="D46" s="15" t="s">
        <v>12</v>
      </c>
    </row>
    <row r="47" spans="2:4" ht="14.7" thickBot="1" x14ac:dyDescent="0.6">
      <c r="B47" s="17"/>
      <c r="C47" s="18"/>
      <c r="D47" s="15">
        <f>(C46*10)/(30*2)</f>
        <v>9.3833333333333329</v>
      </c>
    </row>
    <row r="49" spans="3:4" ht="14.7" thickBot="1" x14ac:dyDescent="0.6"/>
    <row r="50" spans="3:4" s="1" customFormat="1" ht="14.7" thickBot="1" x14ac:dyDescent="0.6">
      <c r="C50" s="28" t="s">
        <v>2</v>
      </c>
      <c r="D50" s="28"/>
    </row>
    <row r="51" spans="3:4" ht="14.7" thickBot="1" x14ac:dyDescent="0.6">
      <c r="C51" s="84" t="s">
        <v>3</v>
      </c>
      <c r="D51" s="85"/>
    </row>
    <row r="52" spans="3:4" x14ac:dyDescent="0.55000000000000004">
      <c r="C52" s="4" t="s">
        <v>10</v>
      </c>
      <c r="D52" s="7"/>
    </row>
    <row r="53" spans="3:4" x14ac:dyDescent="0.55000000000000004">
      <c r="C53" s="4" t="s">
        <v>16</v>
      </c>
      <c r="D53" s="7"/>
    </row>
    <row r="54" spans="3:4" x14ac:dyDescent="0.55000000000000004">
      <c r="C54" s="4" t="s">
        <v>15</v>
      </c>
      <c r="D54" s="7"/>
    </row>
    <row r="55" spans="3:4" ht="14.7" thickBot="1" x14ac:dyDescent="0.6">
      <c r="C55" s="4" t="s">
        <v>14</v>
      </c>
      <c r="D55" s="7"/>
    </row>
    <row r="56" spans="3:4" ht="14.7" thickBot="1" x14ac:dyDescent="0.6">
      <c r="C56" s="84" t="s">
        <v>6</v>
      </c>
      <c r="D56" s="85"/>
    </row>
    <row r="57" spans="3:4" x14ac:dyDescent="0.55000000000000004">
      <c r="C57" s="4" t="s">
        <v>18</v>
      </c>
      <c r="D57" s="7"/>
    </row>
    <row r="58" spans="3:4" x14ac:dyDescent="0.55000000000000004">
      <c r="C58" s="4" t="s">
        <v>17</v>
      </c>
      <c r="D58" s="7"/>
    </row>
    <row r="59" spans="3:4" ht="14.7" thickBot="1" x14ac:dyDescent="0.6">
      <c r="C59" s="4" t="s">
        <v>7</v>
      </c>
      <c r="D59" s="7"/>
    </row>
    <row r="60" spans="3:4" ht="14.7" thickBot="1" x14ac:dyDescent="0.6">
      <c r="C60" s="86" t="s">
        <v>8</v>
      </c>
      <c r="D60" s="85"/>
    </row>
    <row r="61" spans="3:4" x14ac:dyDescent="0.55000000000000004">
      <c r="C61" s="3" t="s">
        <v>20</v>
      </c>
      <c r="D61" s="29"/>
    </row>
    <row r="62" spans="3:4" ht="14.7" thickBot="1" x14ac:dyDescent="0.6">
      <c r="C62" s="5" t="s">
        <v>19</v>
      </c>
      <c r="D62" s="29"/>
    </row>
    <row r="63" spans="3:4" ht="14.7" thickBot="1" x14ac:dyDescent="0.6">
      <c r="C63" s="15" t="s">
        <v>11</v>
      </c>
      <c r="D63" s="15">
        <f>SUM(D52:D60)</f>
        <v>0</v>
      </c>
    </row>
    <row r="64" spans="3:4" x14ac:dyDescent="0.55000000000000004">
      <c r="D64" s="13"/>
    </row>
    <row r="65" spans="3:4" ht="14.7" thickBot="1" x14ac:dyDescent="0.6">
      <c r="D65" s="2"/>
    </row>
    <row r="66" spans="3:4" ht="14.7" thickBot="1" x14ac:dyDescent="0.6">
      <c r="C66" s="15" t="s">
        <v>9</v>
      </c>
      <c r="D66" s="15">
        <f>(D47*0.7)+(D63*0.3)</f>
        <v>6.5683333333333325</v>
      </c>
    </row>
    <row r="67" spans="3:4" x14ac:dyDescent="0.55000000000000004">
      <c r="D67" s="2"/>
    </row>
    <row r="68" spans="3:4" x14ac:dyDescent="0.55000000000000004">
      <c r="D68" s="2"/>
    </row>
  </sheetData>
  <mergeCells count="5">
    <mergeCell ref="C9:D9"/>
    <mergeCell ref="B45:B46"/>
    <mergeCell ref="C51:D51"/>
    <mergeCell ref="C56:D56"/>
    <mergeCell ref="C60:D60"/>
  </mergeCells>
  <hyperlinks>
    <hyperlink ref="C6" r:id="rId1" xr:uid="{05394F0C-5C6D-4152-840A-EA863AC274A7}"/>
  </hyperlinks>
  <pageMargins left="0.70866141732283472" right="0.70866141732283472" top="0.74803149606299213" bottom="0.74803149606299213" header="0.31496062992125984" footer="0.31496062992125984"/>
  <pageSetup paperSize="9" scale="70" orientation="portrait" r:id="rId2"/>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DA63-39C4-4F34-BE3F-1BD38ADF757F}">
  <sheetPr>
    <pageSetUpPr fitToPage="1"/>
  </sheetPr>
  <dimension ref="A1:N68"/>
  <sheetViews>
    <sheetView topLeftCell="C61" zoomScale="175" zoomScaleNormal="175" workbookViewId="0">
      <selection activeCell="C56" sqref="C56:D56"/>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 min="5" max="5" width="2.41796875" customWidth="1"/>
  </cols>
  <sheetData>
    <row r="1" spans="1:4" s="22" customFormat="1" x14ac:dyDescent="0.55000000000000004">
      <c r="A1" s="20"/>
      <c r="B1" s="21" t="s">
        <v>4</v>
      </c>
    </row>
    <row r="2" spans="1:4" s="25" customFormat="1" ht="14.7" thickBot="1" x14ac:dyDescent="0.6">
      <c r="A2" s="23"/>
      <c r="B2" s="24" t="s">
        <v>13</v>
      </c>
    </row>
    <row r="3" spans="1:4" s="26" customFormat="1" x14ac:dyDescent="0.55000000000000004">
      <c r="B3" s="27"/>
    </row>
    <row r="4" spans="1:4" s="43" customFormat="1" x14ac:dyDescent="0.55000000000000004">
      <c r="B4" s="44"/>
      <c r="C4" s="45" t="s">
        <v>36</v>
      </c>
    </row>
    <row r="5" spans="1:4" s="26" customFormat="1" x14ac:dyDescent="0.55000000000000004">
      <c r="B5" s="27"/>
    </row>
    <row r="6" spans="1:4" s="26" customFormat="1" x14ac:dyDescent="0.55000000000000004">
      <c r="B6" s="27"/>
      <c r="C6" s="47" t="s">
        <v>35</v>
      </c>
    </row>
    <row r="7" spans="1:4" s="26" customFormat="1" x14ac:dyDescent="0.55000000000000004">
      <c r="B7" s="27"/>
      <c r="C7" s="47"/>
    </row>
    <row r="8" spans="1:4" ht="14.7" thickBot="1" x14ac:dyDescent="0.6"/>
    <row r="9" spans="1:4" ht="14.7" thickBot="1" x14ac:dyDescent="0.6">
      <c r="C9" s="87" t="s">
        <v>1</v>
      </c>
      <c r="D9" s="88"/>
    </row>
    <row r="10" spans="1:4" ht="49.2" customHeight="1" thickBot="1" x14ac:dyDescent="0.6">
      <c r="C10" s="30" t="s">
        <v>5</v>
      </c>
      <c r="D10" s="31" t="s">
        <v>21</v>
      </c>
    </row>
    <row r="11" spans="1:4" x14ac:dyDescent="0.55000000000000004">
      <c r="B11" s="9">
        <v>1</v>
      </c>
      <c r="C11" s="37" t="s">
        <v>31</v>
      </c>
      <c r="D11" s="56" t="s">
        <v>31</v>
      </c>
    </row>
    <row r="12" spans="1:4" x14ac:dyDescent="0.55000000000000004">
      <c r="B12" s="10">
        <v>2</v>
      </c>
      <c r="C12" s="7">
        <v>1</v>
      </c>
      <c r="D12" s="7">
        <v>0.5</v>
      </c>
    </row>
    <row r="13" spans="1:4" x14ac:dyDescent="0.55000000000000004">
      <c r="B13" s="10">
        <v>3</v>
      </c>
      <c r="C13" s="49">
        <v>1</v>
      </c>
      <c r="D13" s="49">
        <v>0.5</v>
      </c>
    </row>
    <row r="14" spans="1:4" x14ac:dyDescent="0.55000000000000004">
      <c r="B14" s="10">
        <v>4</v>
      </c>
      <c r="C14" s="7">
        <v>1</v>
      </c>
      <c r="D14" s="7">
        <v>0.5</v>
      </c>
    </row>
    <row r="15" spans="1:4" x14ac:dyDescent="0.55000000000000004">
      <c r="B15" s="10">
        <v>5</v>
      </c>
      <c r="C15" s="49">
        <v>1</v>
      </c>
      <c r="D15" s="49">
        <v>0.5</v>
      </c>
    </row>
    <row r="16" spans="1:4" x14ac:dyDescent="0.55000000000000004">
      <c r="B16" s="10">
        <v>6</v>
      </c>
      <c r="C16" s="7">
        <v>1</v>
      </c>
      <c r="D16" s="7">
        <v>0.25</v>
      </c>
    </row>
    <row r="17" spans="2:4" x14ac:dyDescent="0.55000000000000004">
      <c r="B17" s="10">
        <v>7</v>
      </c>
      <c r="C17" s="49">
        <v>1</v>
      </c>
      <c r="D17" s="49">
        <v>0.5</v>
      </c>
    </row>
    <row r="18" spans="2:4" x14ac:dyDescent="0.55000000000000004">
      <c r="B18" s="10">
        <v>8</v>
      </c>
      <c r="C18" s="7">
        <v>0.1</v>
      </c>
      <c r="D18" s="7">
        <v>0.1</v>
      </c>
    </row>
    <row r="19" spans="2:4" x14ac:dyDescent="0.55000000000000004">
      <c r="B19" s="10">
        <v>9</v>
      </c>
      <c r="C19" s="49">
        <v>1</v>
      </c>
      <c r="D19" s="49">
        <v>0.5</v>
      </c>
    </row>
    <row r="20" spans="2:4" x14ac:dyDescent="0.55000000000000004">
      <c r="B20" s="10">
        <v>10</v>
      </c>
      <c r="C20" s="7">
        <v>0</v>
      </c>
      <c r="D20" s="7">
        <v>0</v>
      </c>
    </row>
    <row r="21" spans="2:4" x14ac:dyDescent="0.55000000000000004">
      <c r="B21" s="10">
        <v>11</v>
      </c>
      <c r="C21" s="49">
        <v>1</v>
      </c>
      <c r="D21" s="49">
        <v>0.5</v>
      </c>
    </row>
    <row r="22" spans="2:4" x14ac:dyDescent="0.55000000000000004">
      <c r="B22" s="10">
        <v>12</v>
      </c>
      <c r="C22" s="7">
        <v>1</v>
      </c>
      <c r="D22" s="7">
        <v>0.5</v>
      </c>
    </row>
    <row r="23" spans="2:4" x14ac:dyDescent="0.55000000000000004">
      <c r="B23" s="10">
        <v>13</v>
      </c>
      <c r="C23" s="49">
        <v>1</v>
      </c>
      <c r="D23" s="49">
        <v>0.5</v>
      </c>
    </row>
    <row r="24" spans="2:4" x14ac:dyDescent="0.55000000000000004">
      <c r="B24" s="10">
        <v>14</v>
      </c>
      <c r="C24" s="7">
        <v>1</v>
      </c>
      <c r="D24" s="7">
        <v>0.5</v>
      </c>
    </row>
    <row r="25" spans="2:4" x14ac:dyDescent="0.55000000000000004">
      <c r="B25" s="10">
        <v>15</v>
      </c>
      <c r="C25" s="49">
        <v>1</v>
      </c>
      <c r="D25" s="49">
        <v>0.5</v>
      </c>
    </row>
    <row r="26" spans="2:4" x14ac:dyDescent="0.55000000000000004">
      <c r="B26" s="10">
        <v>16</v>
      </c>
      <c r="C26" s="7">
        <v>0</v>
      </c>
      <c r="D26" s="7">
        <v>0</v>
      </c>
    </row>
    <row r="27" spans="2:4" x14ac:dyDescent="0.55000000000000004">
      <c r="B27" s="10">
        <v>17</v>
      </c>
      <c r="C27" s="49">
        <v>0</v>
      </c>
      <c r="D27" s="49">
        <v>0</v>
      </c>
    </row>
    <row r="28" spans="2:4" x14ac:dyDescent="0.55000000000000004">
      <c r="B28" s="10">
        <v>18</v>
      </c>
      <c r="C28" s="7">
        <v>1</v>
      </c>
      <c r="D28" s="7">
        <v>0.5</v>
      </c>
    </row>
    <row r="29" spans="2:4" x14ac:dyDescent="0.55000000000000004">
      <c r="B29" s="10">
        <v>19</v>
      </c>
      <c r="C29" s="49">
        <v>1</v>
      </c>
      <c r="D29" s="49">
        <v>0.5</v>
      </c>
    </row>
    <row r="30" spans="2:4" x14ac:dyDescent="0.55000000000000004">
      <c r="B30" s="10">
        <v>20</v>
      </c>
      <c r="C30" s="7">
        <v>1</v>
      </c>
      <c r="D30" s="7">
        <v>0.5</v>
      </c>
    </row>
    <row r="31" spans="2:4" ht="14.7" thickBot="1" x14ac:dyDescent="0.6">
      <c r="B31" s="16">
        <v>21</v>
      </c>
      <c r="C31" s="57">
        <v>1</v>
      </c>
      <c r="D31" s="57">
        <v>0.5</v>
      </c>
    </row>
    <row r="32" spans="2:4" x14ac:dyDescent="0.55000000000000004">
      <c r="B32" s="11">
        <v>1</v>
      </c>
      <c r="C32" s="7">
        <v>0.5</v>
      </c>
      <c r="D32" s="7">
        <v>0.25</v>
      </c>
    </row>
    <row r="33" spans="2:4" x14ac:dyDescent="0.55000000000000004">
      <c r="B33" s="11">
        <v>2</v>
      </c>
      <c r="C33" s="40">
        <v>0.5</v>
      </c>
      <c r="D33" s="40">
        <v>0.25</v>
      </c>
    </row>
    <row r="34" spans="2:4" x14ac:dyDescent="0.55000000000000004">
      <c r="B34" s="11">
        <v>3</v>
      </c>
      <c r="C34" s="7">
        <v>1</v>
      </c>
      <c r="D34" s="7">
        <v>0.5</v>
      </c>
    </row>
    <row r="35" spans="2:4" x14ac:dyDescent="0.55000000000000004">
      <c r="B35" s="11">
        <v>4</v>
      </c>
      <c r="C35" s="42" t="s">
        <v>31</v>
      </c>
      <c r="D35" s="52" t="s">
        <v>31</v>
      </c>
    </row>
    <row r="36" spans="2:4" x14ac:dyDescent="0.55000000000000004">
      <c r="B36" s="11">
        <v>5</v>
      </c>
      <c r="C36" s="42" t="s">
        <v>31</v>
      </c>
      <c r="D36" s="42" t="s">
        <v>31</v>
      </c>
    </row>
    <row r="37" spans="2:4" x14ac:dyDescent="0.55000000000000004">
      <c r="B37" s="11">
        <v>6</v>
      </c>
      <c r="C37" s="40">
        <v>0</v>
      </c>
      <c r="D37" s="40">
        <v>0</v>
      </c>
    </row>
    <row r="38" spans="2:4" x14ac:dyDescent="0.55000000000000004">
      <c r="B38" s="11">
        <v>7</v>
      </c>
      <c r="C38" s="42" t="s">
        <v>31</v>
      </c>
      <c r="D38" s="52" t="s">
        <v>31</v>
      </c>
    </row>
    <row r="39" spans="2:4" x14ac:dyDescent="0.55000000000000004">
      <c r="B39" s="11">
        <v>8</v>
      </c>
      <c r="C39" s="40">
        <v>0.5</v>
      </c>
      <c r="D39" s="40">
        <v>0.25</v>
      </c>
    </row>
    <row r="40" spans="2:4" ht="14.7" thickBot="1" x14ac:dyDescent="0.6">
      <c r="B40" s="11">
        <v>9</v>
      </c>
      <c r="C40" s="7">
        <v>0.5</v>
      </c>
      <c r="D40" s="7">
        <v>0.25</v>
      </c>
    </row>
    <row r="41" spans="2:4" x14ac:dyDescent="0.55000000000000004">
      <c r="B41" s="32">
        <v>1</v>
      </c>
      <c r="C41" s="58">
        <v>1</v>
      </c>
      <c r="D41" s="60">
        <v>0.5</v>
      </c>
    </row>
    <row r="42" spans="2:4" x14ac:dyDescent="0.55000000000000004">
      <c r="B42" s="12">
        <v>2</v>
      </c>
      <c r="C42" s="7">
        <v>1</v>
      </c>
      <c r="D42" s="29">
        <v>0.5</v>
      </c>
    </row>
    <row r="43" spans="2:4" x14ac:dyDescent="0.55000000000000004">
      <c r="B43" s="12">
        <v>3</v>
      </c>
      <c r="C43" s="41">
        <v>0</v>
      </c>
      <c r="D43" s="61">
        <v>0</v>
      </c>
    </row>
    <row r="44" spans="2:4" ht="14.7" thickBot="1" x14ac:dyDescent="0.6">
      <c r="B44" s="12">
        <v>4</v>
      </c>
      <c r="C44" s="8">
        <v>0</v>
      </c>
      <c r="D44" s="53">
        <v>0</v>
      </c>
    </row>
    <row r="45" spans="2:4" ht="14.7" thickBot="1" x14ac:dyDescent="0.6">
      <c r="B45" s="82" t="s">
        <v>0</v>
      </c>
      <c r="C45" s="59">
        <f>SUM(C11:C44)</f>
        <v>21.1</v>
      </c>
      <c r="D45" s="59">
        <f>SUM(D11:D44)</f>
        <v>10.35</v>
      </c>
    </row>
    <row r="46" spans="2:4" ht="14.7" thickBot="1" x14ac:dyDescent="0.6">
      <c r="B46" s="83"/>
      <c r="C46" s="19">
        <f>C45+D45</f>
        <v>31.450000000000003</v>
      </c>
      <c r="D46" s="15" t="s">
        <v>12</v>
      </c>
    </row>
    <row r="47" spans="2:4" ht="14.7" thickBot="1" x14ac:dyDescent="0.6">
      <c r="B47" s="17"/>
      <c r="C47" s="18"/>
      <c r="D47" s="15">
        <f>(C46*10)/(30*2)</f>
        <v>5.2416666666666663</v>
      </c>
    </row>
    <row r="49" spans="3:14" ht="14.7" thickBot="1" x14ac:dyDescent="0.6"/>
    <row r="50" spans="3:14" s="1" customFormat="1" ht="14.7" thickBot="1" x14ac:dyDescent="0.6">
      <c r="C50" s="28" t="s">
        <v>2</v>
      </c>
      <c r="D50" s="28"/>
    </row>
    <row r="51" spans="3:14" ht="14.7" thickBot="1" x14ac:dyDescent="0.6">
      <c r="C51" s="84" t="s">
        <v>3</v>
      </c>
      <c r="D51" s="85"/>
    </row>
    <row r="52" spans="3:14" ht="16.2" customHeight="1" x14ac:dyDescent="0.55000000000000004">
      <c r="C52" s="4" t="s">
        <v>10</v>
      </c>
      <c r="D52" s="67">
        <v>1</v>
      </c>
      <c r="F52" s="89" t="s">
        <v>54</v>
      </c>
      <c r="G52" s="89"/>
      <c r="H52" s="89"/>
      <c r="I52" s="89"/>
      <c r="J52" s="89"/>
      <c r="K52" s="89"/>
      <c r="L52" s="89"/>
      <c r="M52" s="89"/>
      <c r="N52" s="89"/>
    </row>
    <row r="53" spans="3:14" x14ac:dyDescent="0.55000000000000004">
      <c r="C53" s="4" t="s">
        <v>16</v>
      </c>
      <c r="D53" s="68">
        <v>1.5</v>
      </c>
      <c r="F53" s="90" t="s">
        <v>55</v>
      </c>
      <c r="G53" s="90"/>
      <c r="H53" s="90"/>
      <c r="I53" s="90"/>
      <c r="J53" s="90"/>
      <c r="K53" s="90"/>
      <c r="L53" s="90"/>
      <c r="M53" s="90"/>
      <c r="N53" s="90"/>
    </row>
    <row r="54" spans="3:14" x14ac:dyDescent="0.55000000000000004">
      <c r="C54" s="4" t="s">
        <v>15</v>
      </c>
      <c r="D54" s="68">
        <v>1</v>
      </c>
      <c r="F54" s="90" t="s">
        <v>56</v>
      </c>
      <c r="G54" s="90"/>
      <c r="H54" s="90"/>
      <c r="I54" s="90"/>
      <c r="J54" s="90"/>
      <c r="K54" s="90"/>
      <c r="L54" s="90"/>
      <c r="M54" s="90"/>
      <c r="N54" s="90"/>
    </row>
    <row r="55" spans="3:14" ht="14.7" thickBot="1" x14ac:dyDescent="0.6">
      <c r="C55" s="4" t="s">
        <v>14</v>
      </c>
      <c r="D55" s="69">
        <v>0</v>
      </c>
      <c r="F55" s="89" t="s">
        <v>57</v>
      </c>
      <c r="G55" s="89"/>
      <c r="H55" s="89"/>
      <c r="I55" s="89"/>
      <c r="J55" s="89"/>
      <c r="K55" s="89"/>
      <c r="L55" s="89"/>
      <c r="M55" s="89"/>
      <c r="N55" s="89"/>
    </row>
    <row r="56" spans="3:14" ht="14.7" thickBot="1" x14ac:dyDescent="0.6">
      <c r="C56" s="84" t="s">
        <v>6</v>
      </c>
      <c r="D56" s="85"/>
      <c r="F56" s="66"/>
      <c r="G56" s="66"/>
      <c r="H56" s="66"/>
      <c r="I56" s="66"/>
      <c r="J56" s="66"/>
      <c r="K56" s="66"/>
      <c r="L56" s="66"/>
      <c r="M56" s="66"/>
      <c r="N56" s="66"/>
    </row>
    <row r="57" spans="3:14" x14ac:dyDescent="0.55000000000000004">
      <c r="C57" s="4" t="s">
        <v>18</v>
      </c>
      <c r="D57" s="67">
        <v>0</v>
      </c>
      <c r="F57" s="62"/>
    </row>
    <row r="58" spans="3:14" x14ac:dyDescent="0.55000000000000004">
      <c r="C58" s="4" t="s">
        <v>17</v>
      </c>
      <c r="D58" s="68">
        <v>1.5</v>
      </c>
      <c r="F58" s="62" t="s">
        <v>58</v>
      </c>
    </row>
    <row r="59" spans="3:14" ht="14.7" thickBot="1" x14ac:dyDescent="0.6">
      <c r="C59" s="4" t="s">
        <v>7</v>
      </c>
      <c r="D59" s="69">
        <v>1.5</v>
      </c>
      <c r="F59" s="63" t="s">
        <v>59</v>
      </c>
    </row>
    <row r="60" spans="3:14" ht="14.7" thickBot="1" x14ac:dyDescent="0.6">
      <c r="C60" s="86" t="s">
        <v>8</v>
      </c>
      <c r="D60" s="85"/>
    </row>
    <row r="61" spans="3:14" x14ac:dyDescent="0.55000000000000004">
      <c r="C61" s="3" t="s">
        <v>20</v>
      </c>
      <c r="D61" s="67">
        <v>0</v>
      </c>
      <c r="F61" s="62" t="s">
        <v>57</v>
      </c>
    </row>
    <row r="62" spans="3:14" ht="14.7" thickBot="1" x14ac:dyDescent="0.6">
      <c r="C62" s="5" t="s">
        <v>19</v>
      </c>
      <c r="D62" s="69">
        <v>0</v>
      </c>
      <c r="F62" s="62" t="s">
        <v>57</v>
      </c>
    </row>
    <row r="63" spans="3:14" ht="14.7" thickBot="1" x14ac:dyDescent="0.6">
      <c r="C63" s="15" t="s">
        <v>11</v>
      </c>
      <c r="D63" s="15">
        <f>SUM(D52:D60)</f>
        <v>6.5</v>
      </c>
    </row>
    <row r="64" spans="3:14" x14ac:dyDescent="0.55000000000000004">
      <c r="D64" s="13"/>
    </row>
    <row r="65" spans="3:4" ht="14.7" thickBot="1" x14ac:dyDescent="0.6">
      <c r="D65" s="2"/>
    </row>
    <row r="66" spans="3:4" ht="14.7" thickBot="1" x14ac:dyDescent="0.6">
      <c r="C66" s="15" t="s">
        <v>9</v>
      </c>
      <c r="D66" s="15">
        <f>(D47*0.7)+(D63*0.3)</f>
        <v>5.6191666666666658</v>
      </c>
    </row>
    <row r="67" spans="3:4" x14ac:dyDescent="0.55000000000000004">
      <c r="D67" s="2"/>
    </row>
    <row r="68" spans="3:4" x14ac:dyDescent="0.55000000000000004">
      <c r="D68" s="2"/>
    </row>
  </sheetData>
  <mergeCells count="9">
    <mergeCell ref="C9:D9"/>
    <mergeCell ref="B45:B46"/>
    <mergeCell ref="C51:D51"/>
    <mergeCell ref="C56:D56"/>
    <mergeCell ref="C60:D60"/>
    <mergeCell ref="F52:N52"/>
    <mergeCell ref="F53:N53"/>
    <mergeCell ref="F54:N54"/>
    <mergeCell ref="F55:N55"/>
  </mergeCells>
  <hyperlinks>
    <hyperlink ref="C6" r:id="rId1" xr:uid="{C8696249-1118-4B92-8106-B55D41319FA0}"/>
  </hyperlinks>
  <pageMargins left="0.70866141732283472" right="0.70866141732283472" top="0.74803149606299213" bottom="0.74803149606299213" header="0.31496062992125984" footer="0.31496062992125984"/>
  <pageSetup paperSize="9" scale="58" orientation="portrait"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6E1D-CCDF-44F7-9CBA-FF1BFC09A028}">
  <dimension ref="A1:D67"/>
  <sheetViews>
    <sheetView zoomScale="160" zoomScaleNormal="160" workbookViewId="0">
      <selection activeCell="C6" sqref="C6"/>
    </sheetView>
  </sheetViews>
  <sheetFormatPr baseColWidth="10" defaultColWidth="8.89453125" defaultRowHeight="14.4" x14ac:dyDescent="0.55000000000000004"/>
  <cols>
    <col min="1" max="1" width="4.5234375" customWidth="1"/>
    <col min="2" max="2" width="14.5234375" customWidth="1"/>
    <col min="3" max="3" width="43.1015625" customWidth="1"/>
    <col min="4" max="4" width="23.20703125" customWidth="1"/>
  </cols>
  <sheetData>
    <row r="1" spans="1:4" s="22" customFormat="1" x14ac:dyDescent="0.55000000000000004">
      <c r="A1" s="20"/>
      <c r="B1" s="21" t="s">
        <v>4</v>
      </c>
    </row>
    <row r="2" spans="1:4" s="25" customFormat="1" ht="14.7" thickBot="1" x14ac:dyDescent="0.6">
      <c r="A2" s="23"/>
      <c r="B2" s="24" t="s">
        <v>13</v>
      </c>
    </row>
    <row r="3" spans="1:4" s="26" customFormat="1" x14ac:dyDescent="0.55000000000000004">
      <c r="B3" s="27"/>
    </row>
    <row r="4" spans="1:4" s="43" customFormat="1" x14ac:dyDescent="0.55000000000000004">
      <c r="B4" s="44"/>
      <c r="C4" s="45" t="s">
        <v>38</v>
      </c>
    </row>
    <row r="5" spans="1:4" s="26" customFormat="1" ht="14.7" thickBot="1" x14ac:dyDescent="0.6"/>
    <row r="6" spans="1:4" s="26" customFormat="1" x14ac:dyDescent="0.55000000000000004">
      <c r="B6" s="27"/>
      <c r="C6" s="55" t="s">
        <v>37</v>
      </c>
    </row>
    <row r="7" spans="1:4" ht="14.7" thickBot="1" x14ac:dyDescent="0.6"/>
    <row r="8" spans="1:4" ht="14.7" thickBot="1" x14ac:dyDescent="0.6">
      <c r="C8" s="87" t="s">
        <v>1</v>
      </c>
      <c r="D8" s="88"/>
    </row>
    <row r="9" spans="1:4" ht="49.2" customHeight="1" thickBot="1" x14ac:dyDescent="0.6">
      <c r="C9" s="30" t="s">
        <v>5</v>
      </c>
      <c r="D9" s="31" t="s">
        <v>21</v>
      </c>
    </row>
    <row r="10" spans="1:4" x14ac:dyDescent="0.55000000000000004">
      <c r="B10" s="9">
        <v>1</v>
      </c>
      <c r="C10" s="37" t="s">
        <v>31</v>
      </c>
      <c r="D10" s="37" t="s">
        <v>31</v>
      </c>
    </row>
    <row r="11" spans="1:4" x14ac:dyDescent="0.55000000000000004">
      <c r="B11" s="10">
        <v>2</v>
      </c>
      <c r="C11" s="7"/>
      <c r="D11" s="7"/>
    </row>
    <row r="12" spans="1:4" x14ac:dyDescent="0.55000000000000004">
      <c r="B12" s="10">
        <v>3</v>
      </c>
      <c r="C12" s="49"/>
      <c r="D12" s="49"/>
    </row>
    <row r="13" spans="1:4" x14ac:dyDescent="0.55000000000000004">
      <c r="B13" s="10">
        <v>4</v>
      </c>
      <c r="C13" s="7"/>
      <c r="D13" s="7"/>
    </row>
    <row r="14" spans="1:4" x14ac:dyDescent="0.55000000000000004">
      <c r="B14" s="10">
        <v>5</v>
      </c>
      <c r="C14" s="49"/>
      <c r="D14" s="49"/>
    </row>
    <row r="15" spans="1:4" x14ac:dyDescent="0.55000000000000004">
      <c r="B15" s="10">
        <v>6</v>
      </c>
      <c r="C15" s="7"/>
      <c r="D15" s="7"/>
    </row>
    <row r="16" spans="1:4" x14ac:dyDescent="0.55000000000000004">
      <c r="B16" s="10">
        <v>7</v>
      </c>
      <c r="C16" s="49"/>
      <c r="D16" s="49"/>
    </row>
    <row r="17" spans="2:4" x14ac:dyDescent="0.55000000000000004">
      <c r="B17" s="10">
        <v>8</v>
      </c>
      <c r="C17" s="7"/>
      <c r="D17" s="7"/>
    </row>
    <row r="18" spans="2:4" x14ac:dyDescent="0.55000000000000004">
      <c r="B18" s="10">
        <v>9</v>
      </c>
      <c r="C18" s="49"/>
      <c r="D18" s="49"/>
    </row>
    <row r="19" spans="2:4" x14ac:dyDescent="0.55000000000000004">
      <c r="B19" s="10">
        <v>10</v>
      </c>
      <c r="C19" s="7"/>
      <c r="D19" s="7"/>
    </row>
    <row r="20" spans="2:4" x14ac:dyDescent="0.55000000000000004">
      <c r="B20" s="10">
        <v>11</v>
      </c>
      <c r="C20" s="49"/>
      <c r="D20" s="49"/>
    </row>
    <row r="21" spans="2:4" x14ac:dyDescent="0.55000000000000004">
      <c r="B21" s="10">
        <v>12</v>
      </c>
      <c r="C21" s="7"/>
      <c r="D21" s="7"/>
    </row>
    <row r="22" spans="2:4" x14ac:dyDescent="0.55000000000000004">
      <c r="B22" s="10">
        <v>13</v>
      </c>
      <c r="C22" s="49"/>
      <c r="D22" s="49"/>
    </row>
    <row r="23" spans="2:4" x14ac:dyDescent="0.55000000000000004">
      <c r="B23" s="10">
        <v>14</v>
      </c>
      <c r="C23" s="7"/>
      <c r="D23" s="7"/>
    </row>
    <row r="24" spans="2:4" x14ac:dyDescent="0.55000000000000004">
      <c r="B24" s="10">
        <v>15</v>
      </c>
      <c r="C24" s="49"/>
      <c r="D24" s="49"/>
    </row>
    <row r="25" spans="2:4" x14ac:dyDescent="0.55000000000000004">
      <c r="B25" s="10">
        <v>16</v>
      </c>
      <c r="C25" s="7"/>
      <c r="D25" s="7"/>
    </row>
    <row r="26" spans="2:4" x14ac:dyDescent="0.55000000000000004">
      <c r="B26" s="10">
        <v>17</v>
      </c>
      <c r="C26" s="49"/>
      <c r="D26" s="49"/>
    </row>
    <row r="27" spans="2:4" x14ac:dyDescent="0.55000000000000004">
      <c r="B27" s="10">
        <v>18</v>
      </c>
      <c r="C27" s="7"/>
      <c r="D27" s="7"/>
    </row>
    <row r="28" spans="2:4" x14ac:dyDescent="0.55000000000000004">
      <c r="B28" s="10">
        <v>19</v>
      </c>
      <c r="C28" s="49"/>
      <c r="D28" s="49"/>
    </row>
    <row r="29" spans="2:4" x14ac:dyDescent="0.55000000000000004">
      <c r="B29" s="10">
        <v>20</v>
      </c>
      <c r="C29" s="7"/>
      <c r="D29" s="7"/>
    </row>
    <row r="30" spans="2:4" ht="14.7" thickBot="1" x14ac:dyDescent="0.6">
      <c r="B30" s="16">
        <v>21</v>
      </c>
      <c r="C30" s="49"/>
      <c r="D30" s="49"/>
    </row>
    <row r="31" spans="2:4" x14ac:dyDescent="0.55000000000000004">
      <c r="B31" s="11">
        <v>1</v>
      </c>
      <c r="C31" s="6"/>
      <c r="D31" s="50"/>
    </row>
    <row r="32" spans="2:4" x14ac:dyDescent="0.55000000000000004">
      <c r="B32" s="11">
        <v>2</v>
      </c>
      <c r="C32" s="40"/>
      <c r="D32" s="51"/>
    </row>
    <row r="33" spans="2:4" x14ac:dyDescent="0.55000000000000004">
      <c r="B33" s="11">
        <v>3</v>
      </c>
      <c r="C33" s="7"/>
      <c r="D33" s="29"/>
    </row>
    <row r="34" spans="2:4" x14ac:dyDescent="0.55000000000000004">
      <c r="B34" s="11">
        <v>4</v>
      </c>
      <c r="C34" s="42" t="s">
        <v>31</v>
      </c>
      <c r="D34" s="52" t="s">
        <v>31</v>
      </c>
    </row>
    <row r="35" spans="2:4" x14ac:dyDescent="0.55000000000000004">
      <c r="B35" s="11">
        <v>5</v>
      </c>
      <c r="C35" s="42" t="s">
        <v>31</v>
      </c>
      <c r="D35" s="42" t="s">
        <v>31</v>
      </c>
    </row>
    <row r="36" spans="2:4" x14ac:dyDescent="0.55000000000000004">
      <c r="B36" s="11">
        <v>6</v>
      </c>
      <c r="C36" s="40"/>
      <c r="D36" s="40"/>
    </row>
    <row r="37" spans="2:4" x14ac:dyDescent="0.55000000000000004">
      <c r="B37" s="11">
        <v>7</v>
      </c>
      <c r="C37" s="42" t="s">
        <v>31</v>
      </c>
      <c r="D37" s="52" t="s">
        <v>31</v>
      </c>
    </row>
    <row r="38" spans="2:4" x14ac:dyDescent="0.55000000000000004">
      <c r="B38" s="11">
        <v>8</v>
      </c>
      <c r="C38" s="40"/>
      <c r="D38" s="40"/>
    </row>
    <row r="39" spans="2:4" ht="14.7" thickBot="1" x14ac:dyDescent="0.6">
      <c r="B39" s="11">
        <v>9</v>
      </c>
      <c r="C39" s="8"/>
      <c r="D39" s="53"/>
    </row>
    <row r="40" spans="2:4" x14ac:dyDescent="0.55000000000000004">
      <c r="B40" s="54">
        <v>1</v>
      </c>
      <c r="C40" s="7"/>
      <c r="D40" s="7"/>
    </row>
    <row r="41" spans="2:4" x14ac:dyDescent="0.55000000000000004">
      <c r="B41" s="12">
        <v>2</v>
      </c>
      <c r="C41" s="41"/>
      <c r="D41" s="41"/>
    </row>
    <row r="42" spans="2:4" x14ac:dyDescent="0.55000000000000004">
      <c r="B42" s="12">
        <v>3</v>
      </c>
      <c r="C42" s="7"/>
      <c r="D42" s="7"/>
    </row>
    <row r="43" spans="2:4" ht="14.7" thickBot="1" x14ac:dyDescent="0.6">
      <c r="B43" s="12">
        <v>4</v>
      </c>
      <c r="C43" s="41"/>
      <c r="D43" s="41"/>
    </row>
    <row r="44" spans="2:4" ht="14.7" thickBot="1" x14ac:dyDescent="0.6">
      <c r="B44" s="82" t="s">
        <v>0</v>
      </c>
      <c r="C44" s="19">
        <f>SUM(C10:C43)</f>
        <v>0</v>
      </c>
      <c r="D44" s="19">
        <f>SUM(D10:D43)</f>
        <v>0</v>
      </c>
    </row>
    <row r="45" spans="2:4" ht="14.7" thickBot="1" x14ac:dyDescent="0.6">
      <c r="B45" s="83"/>
      <c r="C45" s="19">
        <f>C44+D44</f>
        <v>0</v>
      </c>
      <c r="D45" s="15" t="s">
        <v>12</v>
      </c>
    </row>
    <row r="46" spans="2:4" ht="14.7" thickBot="1" x14ac:dyDescent="0.6">
      <c r="B46" s="17"/>
      <c r="C46" s="18"/>
      <c r="D46" s="15">
        <f>(C45*10)/(30*2)</f>
        <v>0</v>
      </c>
    </row>
    <row r="48" spans="2:4" ht="14.7" thickBot="1" x14ac:dyDescent="0.6"/>
    <row r="49" spans="3:4" s="1" customFormat="1" ht="14.7" thickBot="1" x14ac:dyDescent="0.6">
      <c r="C49" s="28" t="s">
        <v>2</v>
      </c>
      <c r="D49" s="28"/>
    </row>
    <row r="50" spans="3:4" ht="14.7" thickBot="1" x14ac:dyDescent="0.6">
      <c r="C50" s="84" t="s">
        <v>3</v>
      </c>
      <c r="D50" s="85"/>
    </row>
    <row r="51" spans="3:4" x14ac:dyDescent="0.55000000000000004">
      <c r="C51" s="4" t="s">
        <v>10</v>
      </c>
      <c r="D51" s="7"/>
    </row>
    <row r="52" spans="3:4" x14ac:dyDescent="0.55000000000000004">
      <c r="C52" s="4" t="s">
        <v>16</v>
      </c>
      <c r="D52" s="7"/>
    </row>
    <row r="53" spans="3:4" x14ac:dyDescent="0.55000000000000004">
      <c r="C53" s="4" t="s">
        <v>15</v>
      </c>
      <c r="D53" s="7"/>
    </row>
    <row r="54" spans="3:4" ht="14.7" thickBot="1" x14ac:dyDescent="0.6">
      <c r="C54" s="4" t="s">
        <v>14</v>
      </c>
      <c r="D54" s="7"/>
    </row>
    <row r="55" spans="3:4" ht="14.7" thickBot="1" x14ac:dyDescent="0.6">
      <c r="C55" s="84" t="s">
        <v>6</v>
      </c>
      <c r="D55" s="85"/>
    </row>
    <row r="56" spans="3:4" x14ac:dyDescent="0.55000000000000004">
      <c r="C56" s="4" t="s">
        <v>18</v>
      </c>
      <c r="D56" s="7"/>
    </row>
    <row r="57" spans="3:4" x14ac:dyDescent="0.55000000000000004">
      <c r="C57" s="4" t="s">
        <v>17</v>
      </c>
      <c r="D57" s="7"/>
    </row>
    <row r="58" spans="3:4" ht="14.7" thickBot="1" x14ac:dyDescent="0.6">
      <c r="C58" s="4" t="s">
        <v>7</v>
      </c>
      <c r="D58" s="7"/>
    </row>
    <row r="59" spans="3:4" ht="14.7" thickBot="1" x14ac:dyDescent="0.6">
      <c r="C59" s="86" t="s">
        <v>8</v>
      </c>
      <c r="D59" s="85"/>
    </row>
    <row r="60" spans="3:4" x14ac:dyDescent="0.55000000000000004">
      <c r="C60" s="3" t="s">
        <v>20</v>
      </c>
      <c r="D60" s="29"/>
    </row>
    <row r="61" spans="3:4" ht="14.7" thickBot="1" x14ac:dyDescent="0.6">
      <c r="C61" s="5" t="s">
        <v>19</v>
      </c>
      <c r="D61" s="29"/>
    </row>
    <row r="62" spans="3:4" ht="14.7" thickBot="1" x14ac:dyDescent="0.6">
      <c r="C62" s="15" t="s">
        <v>11</v>
      </c>
      <c r="D62" s="15">
        <f>SUM(D51:D59)</f>
        <v>0</v>
      </c>
    </row>
    <row r="63" spans="3:4" x14ac:dyDescent="0.55000000000000004">
      <c r="D63" s="13"/>
    </row>
    <row r="64" spans="3:4" ht="14.7" thickBot="1" x14ac:dyDescent="0.6">
      <c r="D64" s="2"/>
    </row>
    <row r="65" spans="3:4" ht="14.7" thickBot="1" x14ac:dyDescent="0.6">
      <c r="C65" s="15" t="s">
        <v>9</v>
      </c>
      <c r="D65" s="15">
        <f>(D46*0.7)+(D62*0.3)</f>
        <v>0</v>
      </c>
    </row>
    <row r="66" spans="3:4" x14ac:dyDescent="0.55000000000000004">
      <c r="D66" s="2"/>
    </row>
    <row r="67" spans="3:4" x14ac:dyDescent="0.55000000000000004">
      <c r="D67" s="2"/>
    </row>
  </sheetData>
  <mergeCells count="5">
    <mergeCell ref="C8:D8"/>
    <mergeCell ref="B44:B45"/>
    <mergeCell ref="C50:D50"/>
    <mergeCell ref="C55:D55"/>
    <mergeCell ref="C59:D5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Alumne PERFECTE</vt:lpstr>
      <vt:lpstr>Sergi i Elias</vt:lpstr>
      <vt:lpstr>Naminata i Edumary</vt:lpstr>
      <vt:lpstr>Julio i Hugo</vt:lpstr>
      <vt:lpstr>Piero</vt:lpstr>
      <vt:lpstr>Marc i Maria</vt:lpstr>
      <vt:lpstr>Abde i Camilo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Jaume Alcazo</dc:creator>
  <cp:lastModifiedBy>Jaime Alcazo Castellarnau</cp:lastModifiedBy>
  <cp:lastPrinted>2025-12-17T11:41:00Z</cp:lastPrinted>
  <dcterms:created xsi:type="dcterms:W3CDTF">2015-06-05T18:17:20Z</dcterms:created>
  <dcterms:modified xsi:type="dcterms:W3CDTF">2026-02-16T08:18:41Z</dcterms:modified>
</cp:coreProperties>
</file>